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anurural/Desktop/CEA Fisheries Reproducible/data/"/>
    </mc:Choice>
  </mc:AlternateContent>
  <xr:revisionPtr revIDLastSave="0" documentId="13_ncr:1_{1287F4F3-CB3E-934C-B05E-D351FA0C2D2D}" xr6:coauthVersionLast="47" xr6:coauthVersionMax="47" xr10:uidLastSave="{00000000-0000-0000-0000-000000000000}"/>
  <bookViews>
    <workbookView xWindow="1760" yWindow="640" windowWidth="28600" windowHeight="19120" xr2:uid="{AE5F094B-AFD1-0D43-9B02-738EF40C067D}"/>
  </bookViews>
  <sheets>
    <sheet name="DAR species grouping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1" i="5" l="1"/>
  <c r="G140" i="5"/>
  <c r="G120" i="5"/>
  <c r="G112" i="5"/>
  <c r="G108" i="5"/>
  <c r="G107" i="5"/>
  <c r="G84" i="5"/>
  <c r="G82" i="5"/>
  <c r="G81" i="5"/>
  <c r="G80" i="5"/>
  <c r="G71" i="5"/>
  <c r="G51" i="5"/>
  <c r="G38" i="5"/>
  <c r="G37" i="5"/>
  <c r="G36" i="5"/>
  <c r="G18" i="5"/>
  <c r="G17" i="5"/>
  <c r="F97" i="5"/>
  <c r="G97" i="5" s="1"/>
  <c r="F64" i="5"/>
  <c r="G64" i="5" s="1"/>
  <c r="F62" i="5"/>
  <c r="G62" i="5" s="1"/>
  <c r="F56" i="5"/>
  <c r="F30" i="5"/>
</calcChain>
</file>

<file path=xl/sharedStrings.xml><?xml version="1.0" encoding="utf-8"?>
<sst xmlns="http://schemas.openxmlformats.org/spreadsheetml/2006/main" count="692" uniqueCount="416">
  <si>
    <t>Kole</t>
  </si>
  <si>
    <t>Maiko</t>
  </si>
  <si>
    <t>Manini</t>
  </si>
  <si>
    <t>Menpachi</t>
  </si>
  <si>
    <t>Moana Kali</t>
  </si>
  <si>
    <t>Na'ena'e</t>
  </si>
  <si>
    <t>Nenue</t>
  </si>
  <si>
    <t>Bluefin Trevally</t>
  </si>
  <si>
    <t>Roi</t>
  </si>
  <si>
    <t>Ulua</t>
  </si>
  <si>
    <t>Year</t>
  </si>
  <si>
    <t>Ehu</t>
  </si>
  <si>
    <t>Gindai</t>
  </si>
  <si>
    <t>Kalekale</t>
  </si>
  <si>
    <t>Lehi</t>
  </si>
  <si>
    <t>Mahimahi</t>
  </si>
  <si>
    <t>Onaga</t>
  </si>
  <si>
    <t>Palani</t>
  </si>
  <si>
    <t>Tilapia</t>
  </si>
  <si>
    <t>Uku</t>
  </si>
  <si>
    <t>Milkfish</t>
  </si>
  <si>
    <t>Blue Marlin</t>
  </si>
  <si>
    <t>Pomfret</t>
  </si>
  <si>
    <t>Bonefish</t>
  </si>
  <si>
    <t>Wahoo</t>
  </si>
  <si>
    <t>Moonfish</t>
  </si>
  <si>
    <t>Hawkfish</t>
  </si>
  <si>
    <t>Albacore</t>
  </si>
  <si>
    <t>Goatfish</t>
  </si>
  <si>
    <t>Kawakawa</t>
  </si>
  <si>
    <t>Lae</t>
  </si>
  <si>
    <t>Malu</t>
  </si>
  <si>
    <t>Awa</t>
  </si>
  <si>
    <t>Hogo</t>
  </si>
  <si>
    <t>Ono</t>
  </si>
  <si>
    <t>Sailfish</t>
  </si>
  <si>
    <t>Giant Trevally</t>
  </si>
  <si>
    <t>Kala</t>
  </si>
  <si>
    <t>Oblique-banded Snapper</t>
  </si>
  <si>
    <t>Eyestripe Surgeonfish</t>
  </si>
  <si>
    <t>category</t>
  </si>
  <si>
    <t>food_name</t>
  </si>
  <si>
    <t>local_name</t>
  </si>
  <si>
    <t>display_name</t>
  </si>
  <si>
    <t>Bottomfish - Deep 7</t>
  </si>
  <si>
    <t>Hawaiian Black Grouper, Hawaiian Grouper, Sea Bass</t>
  </si>
  <si>
    <t>Hāpu'u, Hāpu'upu'u, Shapon</t>
  </si>
  <si>
    <t>Hāpu'upu'u</t>
  </si>
  <si>
    <t>Lavender Snapper, Von Siebold's Snapper</t>
  </si>
  <si>
    <t>Kalekale, Kalikali</t>
  </si>
  <si>
    <t>Pink Snapper</t>
  </si>
  <si>
    <t>'Opakapaka</t>
  </si>
  <si>
    <t>Deep-water Red Snapper, Shorttail Red Snapper</t>
  </si>
  <si>
    <t>'Ula'ula, Ehu</t>
  </si>
  <si>
    <t>Longtail Red Snapper</t>
  </si>
  <si>
    <t>'Ula'ula Koa'e, Onaga, Ula</t>
  </si>
  <si>
    <t>Silverjaw Snapper</t>
  </si>
  <si>
    <t>'Ukikiki, Gindai, Tai</t>
  </si>
  <si>
    <t>Bottomfish - Jacks</t>
  </si>
  <si>
    <t>Amberjack</t>
  </si>
  <si>
    <t>Kāhala</t>
  </si>
  <si>
    <t>'Ōmilu, Hoshi Ulua, Nukumomi, Star Ulua</t>
  </si>
  <si>
    <t>'Ōmilu</t>
  </si>
  <si>
    <t>Ulua (Misc.)</t>
  </si>
  <si>
    <t>Pāpio</t>
  </si>
  <si>
    <t>Pāpio, Ulua (Misc.)</t>
  </si>
  <si>
    <t>Hawaiian Salmon, Rainbow Runner, Spanish Jack</t>
  </si>
  <si>
    <t>Kamanu</t>
  </si>
  <si>
    <t>Leatherback, Queenfish</t>
  </si>
  <si>
    <t>Yellowtail Scad</t>
  </si>
  <si>
    <t>'Omaka</t>
  </si>
  <si>
    <t>Golden Trevally, Yellow Ulua</t>
  </si>
  <si>
    <t>Pa'opa'o, Striped Ulua</t>
  </si>
  <si>
    <t>Pa'opa'o</t>
  </si>
  <si>
    <t>Pompano</t>
  </si>
  <si>
    <t>Kagami, Ulua Kihikihi</t>
  </si>
  <si>
    <t>Kagami</t>
  </si>
  <si>
    <t>White Trevally</t>
  </si>
  <si>
    <t>Butaguchi, Pig Lip Ulua</t>
  </si>
  <si>
    <t>Butaguchi</t>
  </si>
  <si>
    <t>Whitetongue Jack</t>
  </si>
  <si>
    <t>Dobe Ulua, Dusky</t>
  </si>
  <si>
    <t>Dobe Ulua</t>
  </si>
  <si>
    <t>Black Jack</t>
  </si>
  <si>
    <t>Black Ulua, Gunkan</t>
  </si>
  <si>
    <t>Gunkan</t>
  </si>
  <si>
    <t>Bigeye Jack, Bigeye Trevally</t>
  </si>
  <si>
    <t>Menpachi Papio, Sasa</t>
  </si>
  <si>
    <t>Sasa</t>
  </si>
  <si>
    <t>Island Jack</t>
  </si>
  <si>
    <t>Pāpā, Ulua</t>
  </si>
  <si>
    <t>Pāpā</t>
  </si>
  <si>
    <t>Giant Ulua, Ulua Aukea, White Pāpio, White Ulua</t>
  </si>
  <si>
    <t>White Pāpio/Ulua</t>
  </si>
  <si>
    <t>No-Bite, Schleger's Jack, Whitefin Trevally</t>
  </si>
  <si>
    <t>No-Bite Ulua</t>
  </si>
  <si>
    <t>Barjack, Barred Jack, Blue Trevally</t>
  </si>
  <si>
    <t>Barjack Ulua</t>
  </si>
  <si>
    <t>Bottomfish - Other Bottomfish</t>
  </si>
  <si>
    <t>Gray Snapper</t>
  </si>
  <si>
    <t>Snake Mackerel</t>
  </si>
  <si>
    <t>Hāuliuli, Tachi</t>
  </si>
  <si>
    <t>Hāuliuli</t>
  </si>
  <si>
    <t>Randall's Snapper</t>
  </si>
  <si>
    <t>Goldflag Jobfish, Yellow-Tail Kale</t>
  </si>
  <si>
    <t>Purple Paka</t>
  </si>
  <si>
    <t>Yellow-Tail Kale</t>
  </si>
  <si>
    <t>Golden Kali, Japanese Rubyfish</t>
  </si>
  <si>
    <t>Boga</t>
  </si>
  <si>
    <t>Golden Kali</t>
  </si>
  <si>
    <t>Longfin Bigeye</t>
  </si>
  <si>
    <t>'Āweoweo (Deepsea), Bulleye</t>
  </si>
  <si>
    <t>'Āweoweo (Deepsea)</t>
  </si>
  <si>
    <t>Large-Headed Scorpionfish</t>
  </si>
  <si>
    <t>Bottomfish - Seamount groundfish</t>
  </si>
  <si>
    <t>Armorhead</t>
  </si>
  <si>
    <t>Alfonsin, Alfonsino</t>
  </si>
  <si>
    <t>Alfonsin</t>
  </si>
  <si>
    <t>Inshore - Barracudas</t>
  </si>
  <si>
    <t>Great Barracuda</t>
  </si>
  <si>
    <t>Kākū</t>
  </si>
  <si>
    <t>Heller's Barracuda, Japanese Barracuda</t>
  </si>
  <si>
    <t>Kamasu, Kawale'ā</t>
  </si>
  <si>
    <t>Kawale'ā</t>
  </si>
  <si>
    <t>Inshore - Eels</t>
  </si>
  <si>
    <t>Moray Eel (Misc.)</t>
  </si>
  <si>
    <t>Puhi (Misc.)</t>
  </si>
  <si>
    <t>Moray Eel (Gymnothorax spp.)</t>
  </si>
  <si>
    <t>Puhi, Puhi (Black/Brown), Puhi Paka</t>
  </si>
  <si>
    <t>Puhi (Black/Brown)</t>
  </si>
  <si>
    <t>Conger Eel, Garden Eel, White Eel</t>
  </si>
  <si>
    <t>Puhi (White), Tohei</t>
  </si>
  <si>
    <t>Puhi (White)</t>
  </si>
  <si>
    <t>Inshore - Goatfishes</t>
  </si>
  <si>
    <t>Orange Goatfish, Pfluger's Goatfish</t>
  </si>
  <si>
    <t>Aka Weke, Moilua, Weke 'Ula, Weke Moelua, Weke Nono</t>
  </si>
  <si>
    <t>Weke Nono</t>
  </si>
  <si>
    <t>White Saddle Goatfish</t>
  </si>
  <si>
    <t>Kūmū</t>
  </si>
  <si>
    <t>Moana, Moana Maru, Moano</t>
  </si>
  <si>
    <t>Moana</t>
  </si>
  <si>
    <t>Goatfish (Misc.)</t>
  </si>
  <si>
    <t>Green Weke, Oama, Sand Weke, Weke, Weke (Misc.)</t>
  </si>
  <si>
    <t>Weke (Misc.)</t>
  </si>
  <si>
    <t>Sidespot Goatfish</t>
  </si>
  <si>
    <t>Malu, Maru, Moano</t>
  </si>
  <si>
    <t>Doublebar Goatfish</t>
  </si>
  <si>
    <t>Munu</t>
  </si>
  <si>
    <t>Bandtail Goatfish</t>
  </si>
  <si>
    <t>Nightmare Weke, Obake Weke, Weke Pueo</t>
  </si>
  <si>
    <t>Weke Pueo</t>
  </si>
  <si>
    <t>Yellowfin Goatfish</t>
  </si>
  <si>
    <t>Red Stripe Goatfish, Red Weke, Weke 'Ula</t>
  </si>
  <si>
    <t>Red Weke</t>
  </si>
  <si>
    <t>Square-Spot Goatfish, Yellowstripe Goatfish</t>
  </si>
  <si>
    <t>Sand Weke, Weke a'a, Weke'ā, White Weke</t>
  </si>
  <si>
    <t>Weke a'a (White)</t>
  </si>
  <si>
    <t>Blue Goatfish, Yellowsaddle Goatfish</t>
  </si>
  <si>
    <t>Anahuli, Aoweke, Moana Kali, Moana Pāpā, Moano Kea, Moano Ukali Ulua</t>
  </si>
  <si>
    <t>Inshore - Mullets</t>
  </si>
  <si>
    <t>Flathead Grey Mullet, Striped Mullet</t>
  </si>
  <si>
    <t>'Ama'ama, Pua</t>
  </si>
  <si>
    <t>'Ama'ama</t>
  </si>
  <si>
    <t>Australian Mullet, Summer Mullet</t>
  </si>
  <si>
    <t>Kanda</t>
  </si>
  <si>
    <t>Summer Mullet</t>
  </si>
  <si>
    <t>False Mullet, Sharpnose Mullet</t>
  </si>
  <si>
    <t>False 'Ama'ama, Uouoa</t>
  </si>
  <si>
    <t>Uouoa</t>
  </si>
  <si>
    <t>Inshore - Other Inshore</t>
  </si>
  <si>
    <t>Garfish, Needlefish</t>
  </si>
  <si>
    <t>'Aha, 'Aha Mele, 'Aha'aha, Bluebone, Dasu</t>
  </si>
  <si>
    <t>'Aha</t>
  </si>
  <si>
    <t>Hawaiian Flagtail, Mountainbass, Perch</t>
  </si>
  <si>
    <t>Āholehole</t>
  </si>
  <si>
    <t>Awa, Bangos</t>
  </si>
  <si>
    <t>Hawaiian Ladyfish</t>
  </si>
  <si>
    <t>'Awa 'awa, Awa 'aua, Hawaiian Tarpon, Hawaiian Tenpounder</t>
  </si>
  <si>
    <t>'Awa 'awa</t>
  </si>
  <si>
    <t>Glasseye Snapper, Hawaiian Bigeye</t>
  </si>
  <si>
    <t>'Āweoweo, 'Āweoweo (Inshore), Big Eye</t>
  </si>
  <si>
    <t>'Āweoweo</t>
  </si>
  <si>
    <t>Eagle Ray, Sting Ray</t>
  </si>
  <si>
    <t>Hīhīmanu</t>
  </si>
  <si>
    <t>Hage (Big Island), Triggerfish</t>
  </si>
  <si>
    <t>Humuhumu</t>
  </si>
  <si>
    <t>Hawaiian Silverside</t>
  </si>
  <si>
    <t>'Iao</t>
  </si>
  <si>
    <t>Ballyhoo, Halfbeak</t>
  </si>
  <si>
    <t>Iheihe, Sayori</t>
  </si>
  <si>
    <t>Iheihe</t>
  </si>
  <si>
    <t>Moorish Idol</t>
  </si>
  <si>
    <t>Kihikihi</t>
  </si>
  <si>
    <t>Blackspot Sergeant, Damselfish</t>
  </si>
  <si>
    <t>Kūpīpī</t>
  </si>
  <si>
    <t>Millet Butterflyfish</t>
  </si>
  <si>
    <t>Lauwiliwili</t>
  </si>
  <si>
    <t>Hawaiian Sergeant, Sergeant Major</t>
  </si>
  <si>
    <t>Ma'o Ma'o, Mamo</t>
  </si>
  <si>
    <t>Ma'o Ma'o</t>
  </si>
  <si>
    <t>Sardine</t>
  </si>
  <si>
    <t>Makiawa</t>
  </si>
  <si>
    <t>Threadfin</t>
  </si>
  <si>
    <t>Moi, Moi-li'i</t>
  </si>
  <si>
    <t>Moi</t>
  </si>
  <si>
    <t>Bigeye Emperor</t>
  </si>
  <si>
    <t>Big Eye, Medai, Mū, Porgy</t>
  </si>
  <si>
    <t>Mū</t>
  </si>
  <si>
    <t>Anchovy</t>
  </si>
  <si>
    <t>Nehu</t>
  </si>
  <si>
    <t>Chub, Rudderfish</t>
  </si>
  <si>
    <t>Enenue, Nenue</t>
  </si>
  <si>
    <t>Scorpionfish</t>
  </si>
  <si>
    <t>Nohu, Okoze</t>
  </si>
  <si>
    <t>Nohu</t>
  </si>
  <si>
    <t>Cornetfish, Stickfish, Trumpetfish</t>
  </si>
  <si>
    <t>Nūnū</t>
  </si>
  <si>
    <t>Filefish</t>
  </si>
  <si>
    <t>'Ō'ili, 'Ō'ili Lepa, Broomtail, Hage, Loulu</t>
  </si>
  <si>
    <t>Loulu</t>
  </si>
  <si>
    <t>'Ō'io</t>
  </si>
  <si>
    <t>Balloonfish, Porcupinefish, Pufferfish</t>
  </si>
  <si>
    <t>'O'opu Hue, Fugu, Kōkala</t>
  </si>
  <si>
    <t>'O'opu Hue</t>
  </si>
  <si>
    <t>Flatfish, Flounder</t>
  </si>
  <si>
    <t>Pāki'i</t>
  </si>
  <si>
    <t>Delicate Roundherring</t>
  </si>
  <si>
    <t>Piha</t>
  </si>
  <si>
    <t>Cardinalfish</t>
  </si>
  <si>
    <t>'Upāpalu, Moonlight Annie</t>
  </si>
  <si>
    <t>'Upāpalu</t>
  </si>
  <si>
    <t>Ocean Sunfish, Slender Sunfish</t>
  </si>
  <si>
    <t>Mola mola</t>
  </si>
  <si>
    <t>Japanese Mackerel</t>
  </si>
  <si>
    <t>Saba</t>
  </si>
  <si>
    <t>Cichlid</t>
  </si>
  <si>
    <t>Po'opa'a</t>
  </si>
  <si>
    <t>Spotted Knifejaw</t>
  </si>
  <si>
    <t>Ishigakidai, Jabberjaw</t>
  </si>
  <si>
    <t>Barred Knifejaw</t>
  </si>
  <si>
    <t>Ishidai, Jabberjaw</t>
  </si>
  <si>
    <t>Gold-spot Herring</t>
  </si>
  <si>
    <t>Inshore - Parrotfishes</t>
  </si>
  <si>
    <t>Stareye Parrotfish</t>
  </si>
  <si>
    <t>Panuhunuhu, Sleeping Uhu, Uhu</t>
  </si>
  <si>
    <t>Panuhunuhu</t>
  </si>
  <si>
    <t>Palenose Parrotfish</t>
  </si>
  <si>
    <t>Panunu, Uhu</t>
  </si>
  <si>
    <t>Panunu</t>
  </si>
  <si>
    <t>Parrotfish (Misc.)</t>
  </si>
  <si>
    <t>Fuga, Uhu, Uhu (Misc.)</t>
  </si>
  <si>
    <t>Uhu (Misc.)</t>
  </si>
  <si>
    <t>Inshore - Scads</t>
  </si>
  <si>
    <t>Bigeye Scad</t>
  </si>
  <si>
    <t>Aji, Akule, Halalū</t>
  </si>
  <si>
    <t>Akule</t>
  </si>
  <si>
    <t>Bigeye Scad (Juvenile)</t>
  </si>
  <si>
    <t>Halalū</t>
  </si>
  <si>
    <t>Mackerel Scad</t>
  </si>
  <si>
    <t>'Ōpelu, Muroaji</t>
  </si>
  <si>
    <t>'Ōpelu</t>
  </si>
  <si>
    <t>Butternose, Mackerel</t>
  </si>
  <si>
    <t>'Ōpelu Mama</t>
  </si>
  <si>
    <t/>
  </si>
  <si>
    <t>Inshore - Snappers/Groupers</t>
  </si>
  <si>
    <t>Forktail Snapper (Use Code 123)</t>
  </si>
  <si>
    <t>Gurutsu (Use Code 123), Hanui (Use Code 123), Wahanui (Use Code 123)</t>
  </si>
  <si>
    <t>Aphareus furca (Use Code 123)</t>
  </si>
  <si>
    <t>Bluestripe Snapper</t>
  </si>
  <si>
    <t>Ta'ape</t>
  </si>
  <si>
    <t>Blacktail Snapper, Golden Perch</t>
  </si>
  <si>
    <t>To'au</t>
  </si>
  <si>
    <t>Peacock Grouper, Royal Sea Bass</t>
  </si>
  <si>
    <t>Forktail Snapper</t>
  </si>
  <si>
    <t>Gurutsu, Hanui, Wahanui</t>
  </si>
  <si>
    <t>Wahanui</t>
  </si>
  <si>
    <t>Inshore - Squirrelfishes</t>
  </si>
  <si>
    <t>Hawaiian Squirrelfish, Indianfish</t>
  </si>
  <si>
    <t>'Ala'ihi</t>
  </si>
  <si>
    <t>Squirrelfish (Holocentridae)</t>
  </si>
  <si>
    <t>'Ala'ihi, Pauu</t>
  </si>
  <si>
    <t>Pauu</t>
  </si>
  <si>
    <t>Squirrelfish (Myripristis spp.)</t>
  </si>
  <si>
    <t>'Ū'ū, Menpachi</t>
  </si>
  <si>
    <t>Longjaw Squirrelfish</t>
  </si>
  <si>
    <t>'Ala'ihi mama, Uukanipo</t>
  </si>
  <si>
    <t>'Ala'ihi mama</t>
  </si>
  <si>
    <t>Inshore - Surgeonfishes</t>
  </si>
  <si>
    <t>Goldring Surgeonfish</t>
  </si>
  <si>
    <t>Kole, Yellow Eye Kole</t>
  </si>
  <si>
    <t>Brown Surgeonfish, Lavendar Tang</t>
  </si>
  <si>
    <t>Fork Tail, Ma'i'i'i</t>
  </si>
  <si>
    <t>Ma'i'i'i</t>
  </si>
  <si>
    <t>Blueline Surgeonfish</t>
  </si>
  <si>
    <t>Whitebar Surgeonfish</t>
  </si>
  <si>
    <t>Māikoiko</t>
  </si>
  <si>
    <t>Convict Tang</t>
  </si>
  <si>
    <t>Olive Tang, Orangeband Surgeonfish</t>
  </si>
  <si>
    <t>Yellow Tang</t>
  </si>
  <si>
    <t>Lau'īpala, Yellow Manini</t>
  </si>
  <si>
    <t>Achilles Tang</t>
  </si>
  <si>
    <t>Pāku'iku'i</t>
  </si>
  <si>
    <t>Palani, Pone</t>
  </si>
  <si>
    <t>Ringtail Surgeonfish (Acanthurus blochii), Yellowfin Surgeonfish (Acanthurus xanthopterus)</t>
  </si>
  <si>
    <t>Pualu (Acanthurus xanthopterus)</t>
  </si>
  <si>
    <t>Pualu</t>
  </si>
  <si>
    <t>Whitespotted Surgeonfish</t>
  </si>
  <si>
    <t>'Api, Mustard Tang</t>
  </si>
  <si>
    <t>'Api</t>
  </si>
  <si>
    <t>Black Surgeonfish</t>
  </si>
  <si>
    <t>Black Kole</t>
  </si>
  <si>
    <t>Inshore - Unicornfishes</t>
  </si>
  <si>
    <t>Unicornfish</t>
  </si>
  <si>
    <t>Sleek Unicornfish</t>
  </si>
  <si>
    <t>'Ōpelu Kala, Kala Holo, Six Spined Surgeon</t>
  </si>
  <si>
    <t>'Ōpelu Kala</t>
  </si>
  <si>
    <t>Naso Tang, Orangespine Unicornfish</t>
  </si>
  <si>
    <t>Clown Tang, Kalalei, Orange Lip Surgeon, Umauma lei</t>
  </si>
  <si>
    <t>Kalalei</t>
  </si>
  <si>
    <t>Inshore - Wrasses</t>
  </si>
  <si>
    <t>Hawaiian Hogfish, Tableboss</t>
  </si>
  <si>
    <t>'A'awa</t>
  </si>
  <si>
    <t>Wrasse (Misc.)</t>
  </si>
  <si>
    <t>Ea (Misc.), Hīnālea</t>
  </si>
  <si>
    <t>Blackstripe Coris Wrasse</t>
  </si>
  <si>
    <t>Hilu</t>
  </si>
  <si>
    <t>Wrasse (Thalassoma spp.)</t>
  </si>
  <si>
    <t>Hīnālea</t>
  </si>
  <si>
    <t>Cigar Wrasse, Mongoose Fish</t>
  </si>
  <si>
    <t>Alligator Wrasse, Banana Wrasse, Kūpou, Kūpoupou, Mongoose Wrasse</t>
  </si>
  <si>
    <t>Kūpoupou</t>
  </si>
  <si>
    <t>Peacock Razorfish</t>
  </si>
  <si>
    <t>Laenihi, Nabeta, Razorback Wrasse, Razorfin Wrasse</t>
  </si>
  <si>
    <t>Laenihi</t>
  </si>
  <si>
    <t>Pearl Wrasse</t>
  </si>
  <si>
    <t>'Opule, Snowflake Wrasse</t>
  </si>
  <si>
    <t>'Opule</t>
  </si>
  <si>
    <t>Humphead Wrasse, Napoleon Wrasse</t>
  </si>
  <si>
    <t>Maratea</t>
  </si>
  <si>
    <t>Ringtail Wrasse</t>
  </si>
  <si>
    <t>Po'ou</t>
  </si>
  <si>
    <t>Pelagic - Billfishes</t>
  </si>
  <si>
    <t>Billfish (Misc.)</t>
  </si>
  <si>
    <t>Mitsukuri</t>
  </si>
  <si>
    <t>Striped Marlin</t>
  </si>
  <si>
    <t>A'u, Naragi</t>
  </si>
  <si>
    <t>A'u B, Kajiki</t>
  </si>
  <si>
    <t>Broadbill Swordfish</t>
  </si>
  <si>
    <t>A'u ku, Shutome</t>
  </si>
  <si>
    <t>A'u lepe, A'u s</t>
  </si>
  <si>
    <t>Shortbill Spearfish</t>
  </si>
  <si>
    <t>A'u, A'u I, Hebi</t>
  </si>
  <si>
    <t>Black Marlin, Silver Marlin, White Marlin</t>
  </si>
  <si>
    <t>A'u, Hida</t>
  </si>
  <si>
    <t>Black Marlin</t>
  </si>
  <si>
    <t>Pelagic - Other Pelagics</t>
  </si>
  <si>
    <t>Dolphinfish</t>
  </si>
  <si>
    <t>Dorado, Equiset, Mahimahi</t>
  </si>
  <si>
    <t>Flying Fish</t>
  </si>
  <si>
    <t>Mālolo</t>
  </si>
  <si>
    <t>Hawaiian Butterfish, Oilfish</t>
  </si>
  <si>
    <t>Walu</t>
  </si>
  <si>
    <t>Manendai, Opah</t>
  </si>
  <si>
    <t>Opah</t>
  </si>
  <si>
    <t>Monchong, Yohando</t>
  </si>
  <si>
    <t>Monchong</t>
  </si>
  <si>
    <t>Pelagic - Sharks</t>
  </si>
  <si>
    <t>Shark (Misc.)</t>
  </si>
  <si>
    <t>Manō (Misc.)</t>
  </si>
  <si>
    <t>Hammerhead Shark</t>
  </si>
  <si>
    <t>Bay Shark, Manō Kihikihi</t>
  </si>
  <si>
    <t>Mako Shark</t>
  </si>
  <si>
    <t>Thresher Shark</t>
  </si>
  <si>
    <t>Manō'ula</t>
  </si>
  <si>
    <t>Tiger Shark</t>
  </si>
  <si>
    <t>Niuhi</t>
  </si>
  <si>
    <t>Blue Shark</t>
  </si>
  <si>
    <t>Oceanic Whitetip Shark (Use Code 326), Whitetip Reef Shark (Use Code 325)</t>
  </si>
  <si>
    <t>White-Margined Shark (Use Code 326)</t>
  </si>
  <si>
    <t>Whitetip Reef Shark</t>
  </si>
  <si>
    <t>Manō lālā kea</t>
  </si>
  <si>
    <t>Oceanic Whitetip Shark</t>
  </si>
  <si>
    <t>Carcharhinus longimanus</t>
  </si>
  <si>
    <t>Mako Shark - fins</t>
  </si>
  <si>
    <t>Thresher Shark - fins</t>
  </si>
  <si>
    <t>Tiger Shark - fins</t>
  </si>
  <si>
    <t>Blue Shark - fins</t>
  </si>
  <si>
    <t>Great Blue Shark - fins</t>
  </si>
  <si>
    <t>Oceanic Whitetip Shark - fins, Whitetip Reef Shark - fins</t>
  </si>
  <si>
    <t>White-Margined Shark - fins</t>
  </si>
  <si>
    <t>Oceanic Whitetip Shark - fins</t>
  </si>
  <si>
    <t>Shark - fins (Misc.)</t>
  </si>
  <si>
    <t>Hammerhead Shark - fins</t>
  </si>
  <si>
    <t>Pelagic - Tunas</t>
  </si>
  <si>
    <t>Tuna (Misc.)</t>
  </si>
  <si>
    <t>Ahi (Misc.), Soma, Watado</t>
  </si>
  <si>
    <t>Skipjack</t>
  </si>
  <si>
    <t>Aku, Otado, Otaru</t>
  </si>
  <si>
    <t>Aku</t>
  </si>
  <si>
    <t>Yellowfin Tuna</t>
  </si>
  <si>
    <t>'Ahi Y, Koshibi, Shibiko</t>
  </si>
  <si>
    <t>'Ahi Palaha, Tombo</t>
  </si>
  <si>
    <t>Tombo</t>
  </si>
  <si>
    <t>Bluefin Tuna</t>
  </si>
  <si>
    <t>Bigeye Tuna</t>
  </si>
  <si>
    <t>'Ahi po'o nui, Daruma</t>
  </si>
  <si>
    <t>Bonito, Mackerel Tuna, Wavyback Skipjack</t>
  </si>
  <si>
    <t>Kawa, Kawakawa</t>
  </si>
  <si>
    <t>Frigate Mackeral</t>
  </si>
  <si>
    <t>'Oi'oi, Keokeo</t>
  </si>
  <si>
    <t>Keokeo</t>
  </si>
  <si>
    <t>Dogtooth Tuna, Oriental Bonito, Striped Bonito</t>
  </si>
  <si>
    <t>Hagasu, Hagatsuo</t>
  </si>
  <si>
    <t>Dogtooth Tuna</t>
  </si>
  <si>
    <t>Landing prices 2021 (inflation-adj.)</t>
  </si>
  <si>
    <t>Landing prices (nominal)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</si>
</sst>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[$$-409]* #,##0.00_);_([$$-409]* \(#,##0.00\);_([$$-409]* &quot;-&quot;??_);_(@_)"/>
  </numFmts>
  <fonts count="3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Fill="1"/>
    <xf numFmtId="164" fontId="2" fillId="0" borderId="0" xfId="1" applyNumberFormat="1" applyFont="1" applyFill="1"/>
    <xf numFmtId="0" fontId="0" fillId="0" borderId="0" xfId="0" applyFill="1"/>
    <xf numFmtId="0" fontId="1" fillId="0" borderId="0" xfId="1" applyFill="1"/>
    <xf numFmtId="164" fontId="0" fillId="0" borderId="0" xfId="0" applyNumberFormat="1" applyFill="1"/>
    <xf numFmtId="164" fontId="1" fillId="0" borderId="0" xfId="1" applyNumberFormat="1" applyFill="1"/>
  </cellXfs>
  <cellStyles count="2">
    <cellStyle name="Normal" xfId="0" builtinId="0"/>
    <cellStyle name="Normal 2" xfId="1" xr:uid="{E5F8FD1D-D65F-8346-87B4-681457E00D42}"/>
  </cellStyles>
  <dxfs count="0"/>
  <tableStyles count="1" defaultTableStyle="TableStyleMedium2" defaultPivotStyle="PivotStyleLight16">
    <tableStyle name="Table Style 1" pivot="0" count="0" xr9:uid="{9245B1CF-35C2-7B41-B117-970CB91F33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CEB9-E352-F143-865D-E5F7CCE8A285}">
  <dimension ref="A1:H165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10" defaultRowHeight="16" x14ac:dyDescent="0.2"/>
  <cols>
    <col min="1" max="1" width="29.33203125" style="3" bestFit="1" customWidth="1"/>
    <col min="2" max="2" width="46.5" style="3" customWidth="1"/>
    <col min="3" max="3" width="39.33203125" style="3" customWidth="1"/>
    <col min="4" max="4" width="16.5" style="3" customWidth="1"/>
    <col min="5" max="5" width="11.5" style="3" customWidth="1"/>
    <col min="6" max="6" width="27.83203125" style="5" bestFit="1" customWidth="1"/>
    <col min="7" max="7" width="23.6640625" style="5" customWidth="1"/>
    <col min="8" max="8" width="10.83203125" style="5"/>
    <col min="9" max="16384" width="10.83203125" style="3"/>
  </cols>
  <sheetData>
    <row r="1" spans="1:8" x14ac:dyDescent="0.2">
      <c r="A1" s="1" t="s">
        <v>40</v>
      </c>
      <c r="B1" s="1" t="s">
        <v>41</v>
      </c>
      <c r="C1" s="1" t="s">
        <v>42</v>
      </c>
      <c r="D1" s="1" t="s">
        <v>43</v>
      </c>
      <c r="E1" s="1" t="s">
        <v>10</v>
      </c>
      <c r="F1" s="2" t="s">
        <v>415</v>
      </c>
      <c r="G1" s="2" t="s">
        <v>414</v>
      </c>
      <c r="H1" s="2"/>
    </row>
    <row r="2" spans="1:8" x14ac:dyDescent="0.2">
      <c r="A2" s="4" t="s">
        <v>44</v>
      </c>
      <c r="B2" s="4" t="s">
        <v>45</v>
      </c>
      <c r="C2" s="4" t="s">
        <v>46</v>
      </c>
      <c r="D2" s="4" t="s">
        <v>47</v>
      </c>
      <c r="E2" s="3">
        <v>2021</v>
      </c>
      <c r="F2" s="5">
        <v>7.14</v>
      </c>
      <c r="G2" s="5">
        <v>7.14</v>
      </c>
    </row>
    <row r="3" spans="1:8" x14ac:dyDescent="0.2">
      <c r="A3" s="4" t="s">
        <v>44</v>
      </c>
      <c r="B3" s="4" t="s">
        <v>48</v>
      </c>
      <c r="C3" s="4" t="s">
        <v>49</v>
      </c>
      <c r="D3" s="4" t="s">
        <v>13</v>
      </c>
      <c r="E3" s="3">
        <v>2021</v>
      </c>
      <c r="F3" s="5">
        <v>5.28</v>
      </c>
      <c r="G3" s="5">
        <v>5.28</v>
      </c>
    </row>
    <row r="4" spans="1:8" x14ac:dyDescent="0.2">
      <c r="A4" s="4" t="s">
        <v>44</v>
      </c>
      <c r="B4" s="4" t="s">
        <v>50</v>
      </c>
      <c r="C4" s="4" t="s">
        <v>51</v>
      </c>
      <c r="D4" s="4" t="s">
        <v>51</v>
      </c>
      <c r="E4" s="3">
        <v>2021</v>
      </c>
      <c r="F4" s="5">
        <v>9.11</v>
      </c>
      <c r="G4" s="5">
        <v>9.11</v>
      </c>
    </row>
    <row r="5" spans="1:8" x14ac:dyDescent="0.2">
      <c r="A5" s="4" t="s">
        <v>44</v>
      </c>
      <c r="B5" s="4" t="s">
        <v>52</v>
      </c>
      <c r="C5" s="4" t="s">
        <v>53</v>
      </c>
      <c r="D5" s="4" t="s">
        <v>11</v>
      </c>
      <c r="E5" s="3">
        <v>2021</v>
      </c>
      <c r="F5" s="5">
        <v>8.58</v>
      </c>
      <c r="G5" s="5">
        <v>8.58</v>
      </c>
    </row>
    <row r="6" spans="1:8" x14ac:dyDescent="0.2">
      <c r="A6" s="4" t="s">
        <v>44</v>
      </c>
      <c r="B6" s="4" t="s">
        <v>54</v>
      </c>
      <c r="C6" s="4" t="s">
        <v>55</v>
      </c>
      <c r="D6" s="4" t="s">
        <v>16</v>
      </c>
      <c r="E6" s="3">
        <v>2021</v>
      </c>
      <c r="F6" s="5">
        <v>11.31</v>
      </c>
      <c r="G6" s="5">
        <v>11.31</v>
      </c>
    </row>
    <row r="7" spans="1:8" x14ac:dyDescent="0.2">
      <c r="A7" s="4" t="s">
        <v>44</v>
      </c>
      <c r="B7" s="4" t="s">
        <v>56</v>
      </c>
      <c r="C7" s="4" t="s">
        <v>14</v>
      </c>
      <c r="D7" s="4" t="s">
        <v>14</v>
      </c>
      <c r="E7" s="3">
        <v>2021</v>
      </c>
      <c r="F7" s="5">
        <v>6.37</v>
      </c>
      <c r="G7" s="5">
        <v>6.37</v>
      </c>
    </row>
    <row r="8" spans="1:8" x14ac:dyDescent="0.2">
      <c r="A8" s="4" t="s">
        <v>44</v>
      </c>
      <c r="B8" s="4" t="s">
        <v>38</v>
      </c>
      <c r="C8" s="4" t="s">
        <v>57</v>
      </c>
      <c r="D8" s="4" t="s">
        <v>12</v>
      </c>
      <c r="E8" s="3">
        <v>2021</v>
      </c>
      <c r="F8" s="5">
        <v>6.61</v>
      </c>
      <c r="G8" s="5">
        <v>6.61</v>
      </c>
    </row>
    <row r="9" spans="1:8" x14ac:dyDescent="0.2">
      <c r="A9" s="4" t="s">
        <v>58</v>
      </c>
      <c r="B9" s="4" t="s">
        <v>59</v>
      </c>
      <c r="C9" s="4" t="s">
        <v>60</v>
      </c>
      <c r="D9" s="4" t="s">
        <v>60</v>
      </c>
      <c r="E9" s="3">
        <v>2021</v>
      </c>
      <c r="F9" s="5">
        <v>1.98</v>
      </c>
      <c r="G9" s="5">
        <v>1.98</v>
      </c>
    </row>
    <row r="10" spans="1:8" x14ac:dyDescent="0.2">
      <c r="A10" s="4" t="s">
        <v>58</v>
      </c>
      <c r="B10" s="4" t="s">
        <v>7</v>
      </c>
      <c r="C10" s="4" t="s">
        <v>61</v>
      </c>
      <c r="D10" s="4" t="s">
        <v>62</v>
      </c>
      <c r="E10" s="3">
        <v>2021</v>
      </c>
      <c r="F10" s="5">
        <v>3.22</v>
      </c>
      <c r="G10" s="5">
        <v>3.22</v>
      </c>
    </row>
    <row r="11" spans="1:8" x14ac:dyDescent="0.2">
      <c r="A11" s="4" t="s">
        <v>58</v>
      </c>
      <c r="B11" s="4" t="s">
        <v>63</v>
      </c>
      <c r="C11" s="4" t="s">
        <v>64</v>
      </c>
      <c r="D11" s="4" t="s">
        <v>65</v>
      </c>
      <c r="E11" s="3">
        <v>2021</v>
      </c>
      <c r="F11" s="5">
        <v>3.64</v>
      </c>
      <c r="G11" s="5">
        <v>3.64</v>
      </c>
    </row>
    <row r="12" spans="1:8" x14ac:dyDescent="0.2">
      <c r="A12" s="4" t="s">
        <v>58</v>
      </c>
      <c r="B12" s="4" t="s">
        <v>66</v>
      </c>
      <c r="C12" s="4" t="s">
        <v>67</v>
      </c>
      <c r="D12" s="4" t="s">
        <v>67</v>
      </c>
      <c r="E12" s="3">
        <v>2021</v>
      </c>
      <c r="F12" s="5">
        <v>2.77</v>
      </c>
      <c r="G12" s="5">
        <v>2.77</v>
      </c>
    </row>
    <row r="13" spans="1:8" x14ac:dyDescent="0.2">
      <c r="A13" s="4" t="s">
        <v>58</v>
      </c>
      <c r="B13" s="4" t="s">
        <v>68</v>
      </c>
      <c r="C13" s="4" t="s">
        <v>30</v>
      </c>
      <c r="D13" s="4" t="s">
        <v>30</v>
      </c>
      <c r="E13" s="3">
        <v>2021</v>
      </c>
      <c r="F13" s="5">
        <v>2.14</v>
      </c>
      <c r="G13" s="5">
        <v>2.14</v>
      </c>
    </row>
    <row r="14" spans="1:8" x14ac:dyDescent="0.2">
      <c r="A14" s="4" t="s">
        <v>58</v>
      </c>
      <c r="B14" s="4" t="s">
        <v>69</v>
      </c>
      <c r="C14" s="4" t="s">
        <v>70</v>
      </c>
      <c r="D14" s="4" t="s">
        <v>70</v>
      </c>
      <c r="G14" s="5" t="s">
        <v>263</v>
      </c>
    </row>
    <row r="15" spans="1:8" x14ac:dyDescent="0.2">
      <c r="A15" s="4" t="s">
        <v>58</v>
      </c>
      <c r="B15" s="4" t="s">
        <v>71</v>
      </c>
      <c r="C15" s="4" t="s">
        <v>72</v>
      </c>
      <c r="D15" s="4" t="s">
        <v>73</v>
      </c>
      <c r="E15" s="3">
        <v>2021</v>
      </c>
      <c r="F15" s="5">
        <v>5.03</v>
      </c>
      <c r="G15" s="5">
        <v>5.03</v>
      </c>
    </row>
    <row r="16" spans="1:8" x14ac:dyDescent="0.2">
      <c r="A16" s="4" t="s">
        <v>58</v>
      </c>
      <c r="B16" s="4" t="s">
        <v>74</v>
      </c>
      <c r="C16" s="4" t="s">
        <v>75</v>
      </c>
      <c r="D16" s="4" t="s">
        <v>76</v>
      </c>
      <c r="E16" s="3">
        <v>2021</v>
      </c>
      <c r="F16" s="5">
        <v>4.82</v>
      </c>
      <c r="G16" s="5">
        <v>4.82</v>
      </c>
    </row>
    <row r="17" spans="1:7" x14ac:dyDescent="0.2">
      <c r="A17" s="4" t="s">
        <v>58</v>
      </c>
      <c r="B17" s="4" t="s">
        <v>77</v>
      </c>
      <c r="C17" s="4" t="s">
        <v>78</v>
      </c>
      <c r="D17" s="4" t="s">
        <v>79</v>
      </c>
      <c r="E17" s="3">
        <v>2014</v>
      </c>
      <c r="F17" s="5">
        <v>2.82</v>
      </c>
      <c r="G17" s="5">
        <f>(313.001/256.204)*F17</f>
        <v>3.4451562817130097</v>
      </c>
    </row>
    <row r="18" spans="1:7" x14ac:dyDescent="0.2">
      <c r="A18" s="4" t="s">
        <v>58</v>
      </c>
      <c r="B18" s="4" t="s">
        <v>80</v>
      </c>
      <c r="C18" s="4" t="s">
        <v>81</v>
      </c>
      <c r="D18" s="4" t="s">
        <v>82</v>
      </c>
      <c r="E18" s="3">
        <v>2019</v>
      </c>
      <c r="F18" s="5">
        <v>2.5</v>
      </c>
      <c r="G18" s="5">
        <f>(313.001/288.541)*F18</f>
        <v>2.7119282874877397</v>
      </c>
    </row>
    <row r="19" spans="1:7" x14ac:dyDescent="0.2">
      <c r="A19" s="4" t="s">
        <v>58</v>
      </c>
      <c r="B19" s="4" t="s">
        <v>83</v>
      </c>
      <c r="C19" s="4" t="s">
        <v>84</v>
      </c>
      <c r="D19" s="4" t="s">
        <v>85</v>
      </c>
      <c r="E19" s="3">
        <v>2021</v>
      </c>
      <c r="F19" s="5">
        <v>2.13</v>
      </c>
      <c r="G19" s="5">
        <v>2.13</v>
      </c>
    </row>
    <row r="20" spans="1:7" x14ac:dyDescent="0.2">
      <c r="A20" s="4" t="s">
        <v>58</v>
      </c>
      <c r="B20" s="4" t="s">
        <v>86</v>
      </c>
      <c r="C20" s="4" t="s">
        <v>87</v>
      </c>
      <c r="D20" s="4" t="s">
        <v>88</v>
      </c>
      <c r="E20" s="3">
        <v>2021</v>
      </c>
      <c r="F20" s="5">
        <v>5.49</v>
      </c>
      <c r="G20" s="5">
        <v>5.49</v>
      </c>
    </row>
    <row r="21" spans="1:7" x14ac:dyDescent="0.2">
      <c r="A21" s="4" t="s">
        <v>58</v>
      </c>
      <c r="B21" s="4" t="s">
        <v>89</v>
      </c>
      <c r="C21" s="4" t="s">
        <v>90</v>
      </c>
      <c r="D21" s="4" t="s">
        <v>91</v>
      </c>
      <c r="E21" s="3">
        <v>2021</v>
      </c>
      <c r="F21" s="5">
        <v>3.64</v>
      </c>
      <c r="G21" s="5">
        <v>3.64</v>
      </c>
    </row>
    <row r="22" spans="1:7" x14ac:dyDescent="0.2">
      <c r="A22" s="4" t="s">
        <v>58</v>
      </c>
      <c r="B22" s="4" t="s">
        <v>36</v>
      </c>
      <c r="C22" s="4" t="s">
        <v>92</v>
      </c>
      <c r="D22" s="4" t="s">
        <v>93</v>
      </c>
      <c r="E22" s="3">
        <v>2021</v>
      </c>
      <c r="F22" s="5">
        <v>3.6</v>
      </c>
      <c r="G22" s="5">
        <v>3.6</v>
      </c>
    </row>
    <row r="23" spans="1:7" x14ac:dyDescent="0.2">
      <c r="A23" s="4" t="s">
        <v>58</v>
      </c>
      <c r="B23" s="4" t="s">
        <v>94</v>
      </c>
      <c r="C23" s="4" t="s">
        <v>9</v>
      </c>
      <c r="D23" s="4" t="s">
        <v>95</v>
      </c>
      <c r="E23" s="4"/>
      <c r="G23" s="5" t="s">
        <v>263</v>
      </c>
    </row>
    <row r="24" spans="1:7" x14ac:dyDescent="0.2">
      <c r="A24" s="4" t="s">
        <v>58</v>
      </c>
      <c r="B24" s="4" t="s">
        <v>96</v>
      </c>
      <c r="C24" s="4" t="s">
        <v>9</v>
      </c>
      <c r="D24" s="4" t="s">
        <v>97</v>
      </c>
      <c r="E24" s="3">
        <v>2021</v>
      </c>
      <c r="F24" s="5">
        <v>3.22</v>
      </c>
      <c r="G24" s="5">
        <v>3.22</v>
      </c>
    </row>
    <row r="25" spans="1:7" x14ac:dyDescent="0.2">
      <c r="A25" s="4" t="s">
        <v>98</v>
      </c>
      <c r="B25" s="4" t="s">
        <v>99</v>
      </c>
      <c r="C25" s="4" t="s">
        <v>19</v>
      </c>
      <c r="D25" s="4" t="s">
        <v>19</v>
      </c>
      <c r="E25" s="3">
        <v>2021</v>
      </c>
      <c r="F25" s="5">
        <v>5.96</v>
      </c>
      <c r="G25" s="5">
        <v>5.96</v>
      </c>
    </row>
    <row r="26" spans="1:7" x14ac:dyDescent="0.2">
      <c r="A26" s="4" t="s">
        <v>98</v>
      </c>
      <c r="B26" s="4" t="s">
        <v>100</v>
      </c>
      <c r="C26" s="4" t="s">
        <v>101</v>
      </c>
      <c r="D26" s="4" t="s">
        <v>102</v>
      </c>
      <c r="G26" s="5" t="s">
        <v>263</v>
      </c>
    </row>
    <row r="27" spans="1:7" x14ac:dyDescent="0.2">
      <c r="A27" s="4" t="s">
        <v>98</v>
      </c>
      <c r="B27" s="4" t="s">
        <v>103</v>
      </c>
      <c r="C27" s="4"/>
      <c r="D27" s="4" t="s">
        <v>103</v>
      </c>
      <c r="E27" s="4"/>
      <c r="G27" s="5" t="s">
        <v>263</v>
      </c>
    </row>
    <row r="28" spans="1:7" x14ac:dyDescent="0.2">
      <c r="A28" s="4" t="s">
        <v>98</v>
      </c>
      <c r="B28" s="4" t="s">
        <v>104</v>
      </c>
      <c r="C28" s="4" t="s">
        <v>105</v>
      </c>
      <c r="D28" s="4" t="s">
        <v>106</v>
      </c>
      <c r="G28" s="5" t="s">
        <v>263</v>
      </c>
    </row>
    <row r="29" spans="1:7" x14ac:dyDescent="0.2">
      <c r="A29" s="4" t="s">
        <v>98</v>
      </c>
      <c r="B29" s="4" t="s">
        <v>107</v>
      </c>
      <c r="C29" s="4" t="s">
        <v>108</v>
      </c>
      <c r="D29" s="4" t="s">
        <v>109</v>
      </c>
      <c r="G29" s="5" t="s">
        <v>263</v>
      </c>
    </row>
    <row r="30" spans="1:7" x14ac:dyDescent="0.2">
      <c r="A30" s="4" t="s">
        <v>98</v>
      </c>
      <c r="B30" s="4" t="s">
        <v>110</v>
      </c>
      <c r="C30" s="4" t="s">
        <v>111</v>
      </c>
      <c r="D30" s="4" t="s">
        <v>112</v>
      </c>
      <c r="E30" s="3">
        <v>2021</v>
      </c>
      <c r="F30" s="5">
        <f>(4.25+4.42)/2</f>
        <v>4.335</v>
      </c>
      <c r="G30" s="5">
        <v>4.335</v>
      </c>
    </row>
    <row r="31" spans="1:7" x14ac:dyDescent="0.2">
      <c r="A31" s="4" t="s">
        <v>98</v>
      </c>
      <c r="B31" s="4" t="s">
        <v>113</v>
      </c>
      <c r="C31" s="4" t="s">
        <v>33</v>
      </c>
      <c r="D31" s="4" t="s">
        <v>33</v>
      </c>
      <c r="E31" s="3">
        <v>2021</v>
      </c>
      <c r="F31" s="5">
        <v>12.57</v>
      </c>
      <c r="G31" s="5">
        <v>12.57</v>
      </c>
    </row>
    <row r="32" spans="1:7" x14ac:dyDescent="0.2">
      <c r="A32" s="4" t="s">
        <v>114</v>
      </c>
      <c r="B32" s="4" t="s">
        <v>115</v>
      </c>
      <c r="C32" s="4"/>
      <c r="D32" s="4" t="s">
        <v>115</v>
      </c>
      <c r="G32" s="5" t="s">
        <v>263</v>
      </c>
    </row>
    <row r="33" spans="1:7" x14ac:dyDescent="0.2">
      <c r="A33" s="4" t="s">
        <v>114</v>
      </c>
      <c r="B33" s="4" t="s">
        <v>116</v>
      </c>
      <c r="C33" s="4"/>
      <c r="D33" s="4" t="s">
        <v>117</v>
      </c>
      <c r="E33" s="3">
        <v>2021</v>
      </c>
      <c r="F33" s="5">
        <v>7.63</v>
      </c>
      <c r="G33" s="5">
        <v>7.63</v>
      </c>
    </row>
    <row r="34" spans="1:7" x14ac:dyDescent="0.2">
      <c r="A34" s="4" t="s">
        <v>118</v>
      </c>
      <c r="B34" s="4" t="s">
        <v>119</v>
      </c>
      <c r="C34" s="4" t="s">
        <v>120</v>
      </c>
      <c r="D34" s="4" t="s">
        <v>120</v>
      </c>
      <c r="E34" s="3">
        <v>2021</v>
      </c>
      <c r="F34" s="5">
        <v>1.62</v>
      </c>
      <c r="G34" s="5">
        <v>1.62</v>
      </c>
    </row>
    <row r="35" spans="1:7" x14ac:dyDescent="0.2">
      <c r="A35" s="4" t="s">
        <v>118</v>
      </c>
      <c r="B35" s="4" t="s">
        <v>121</v>
      </c>
      <c r="C35" s="4" t="s">
        <v>122</v>
      </c>
      <c r="D35" s="4" t="s">
        <v>123</v>
      </c>
      <c r="E35" s="3">
        <v>2021</v>
      </c>
      <c r="F35" s="5">
        <v>3.27</v>
      </c>
      <c r="G35" s="5">
        <v>3.27</v>
      </c>
    </row>
    <row r="36" spans="1:7" x14ac:dyDescent="0.2">
      <c r="A36" s="4" t="s">
        <v>124</v>
      </c>
      <c r="B36" s="4" t="s">
        <v>125</v>
      </c>
      <c r="C36" s="4" t="s">
        <v>126</v>
      </c>
      <c r="D36" s="4" t="s">
        <v>126</v>
      </c>
      <c r="E36" s="3">
        <v>2019</v>
      </c>
      <c r="F36" s="5">
        <v>1.49</v>
      </c>
      <c r="G36" s="5">
        <f>(313.001/288.541)*F36</f>
        <v>1.6163092593426929</v>
      </c>
    </row>
    <row r="37" spans="1:7" x14ac:dyDescent="0.2">
      <c r="A37" s="4" t="s">
        <v>124</v>
      </c>
      <c r="B37" s="4" t="s">
        <v>127</v>
      </c>
      <c r="C37" s="4" t="s">
        <v>128</v>
      </c>
      <c r="D37" s="4" t="s">
        <v>129</v>
      </c>
      <c r="E37" s="3">
        <v>2019</v>
      </c>
      <c r="F37" s="5">
        <v>1.49</v>
      </c>
      <c r="G37" s="5">
        <f>(313.001/288.541)*F37</f>
        <v>1.6163092593426929</v>
      </c>
    </row>
    <row r="38" spans="1:7" x14ac:dyDescent="0.2">
      <c r="A38" s="4" t="s">
        <v>124</v>
      </c>
      <c r="B38" s="4" t="s">
        <v>130</v>
      </c>
      <c r="C38" s="4" t="s">
        <v>131</v>
      </c>
      <c r="D38" s="4" t="s">
        <v>132</v>
      </c>
      <c r="E38" s="3">
        <v>2020</v>
      </c>
      <c r="F38" s="5">
        <v>1.04</v>
      </c>
      <c r="G38" s="5">
        <f>(313.001/302.024)*F38</f>
        <v>1.0777985855428707</v>
      </c>
    </row>
    <row r="39" spans="1:7" x14ac:dyDescent="0.2">
      <c r="A39" s="4" t="s">
        <v>133</v>
      </c>
      <c r="B39" s="4" t="s">
        <v>134</v>
      </c>
      <c r="C39" s="4" t="s">
        <v>135</v>
      </c>
      <c r="D39" s="4" t="s">
        <v>136</v>
      </c>
      <c r="E39" s="3">
        <v>2021</v>
      </c>
      <c r="F39" s="5">
        <v>5.31</v>
      </c>
      <c r="G39" s="5">
        <v>5.31</v>
      </c>
    </row>
    <row r="40" spans="1:7" x14ac:dyDescent="0.2">
      <c r="A40" s="4" t="s">
        <v>133</v>
      </c>
      <c r="B40" s="4" t="s">
        <v>137</v>
      </c>
      <c r="C40" s="4" t="s">
        <v>138</v>
      </c>
      <c r="D40" s="4" t="s">
        <v>138</v>
      </c>
      <c r="E40" s="3">
        <v>2021</v>
      </c>
      <c r="F40" s="5">
        <v>12.53</v>
      </c>
      <c r="G40" s="5">
        <v>12.53</v>
      </c>
    </row>
    <row r="41" spans="1:7" x14ac:dyDescent="0.2">
      <c r="A41" s="4" t="s">
        <v>133</v>
      </c>
      <c r="B41" s="4" t="s">
        <v>28</v>
      </c>
      <c r="C41" s="4" t="s">
        <v>139</v>
      </c>
      <c r="D41" s="4" t="s">
        <v>140</v>
      </c>
      <c r="E41" s="3">
        <v>2021</v>
      </c>
      <c r="F41" s="5">
        <v>6.21</v>
      </c>
      <c r="G41" s="5">
        <v>6.21</v>
      </c>
    </row>
    <row r="42" spans="1:7" x14ac:dyDescent="0.2">
      <c r="A42" s="4" t="s">
        <v>133</v>
      </c>
      <c r="B42" s="4" t="s">
        <v>141</v>
      </c>
      <c r="C42" s="4" t="s">
        <v>142</v>
      </c>
      <c r="D42" s="4" t="s">
        <v>143</v>
      </c>
      <c r="E42" s="3">
        <v>2021</v>
      </c>
      <c r="G42" s="5">
        <v>0</v>
      </c>
    </row>
    <row r="43" spans="1:7" x14ac:dyDescent="0.2">
      <c r="A43" s="4" t="s">
        <v>133</v>
      </c>
      <c r="B43" s="4" t="s">
        <v>144</v>
      </c>
      <c r="C43" s="4" t="s">
        <v>145</v>
      </c>
      <c r="D43" s="4" t="s">
        <v>31</v>
      </c>
      <c r="E43" s="3">
        <v>2021</v>
      </c>
      <c r="F43" s="5">
        <v>4.7300000000000004</v>
      </c>
      <c r="G43" s="5">
        <v>4.7300000000000004</v>
      </c>
    </row>
    <row r="44" spans="1:7" x14ac:dyDescent="0.2">
      <c r="A44" s="4" t="s">
        <v>133</v>
      </c>
      <c r="B44" s="4" t="s">
        <v>146</v>
      </c>
      <c r="C44" s="4" t="s">
        <v>147</v>
      </c>
      <c r="D44" s="4" t="s">
        <v>147</v>
      </c>
      <c r="E44" s="3">
        <v>2021</v>
      </c>
      <c r="F44" s="5">
        <v>7.86</v>
      </c>
      <c r="G44" s="5">
        <v>7.86</v>
      </c>
    </row>
    <row r="45" spans="1:7" x14ac:dyDescent="0.2">
      <c r="A45" s="4" t="s">
        <v>133</v>
      </c>
      <c r="B45" s="4" t="s">
        <v>148</v>
      </c>
      <c r="C45" s="4" t="s">
        <v>149</v>
      </c>
      <c r="D45" s="4" t="s">
        <v>150</v>
      </c>
      <c r="G45" s="5" t="s">
        <v>263</v>
      </c>
    </row>
    <row r="46" spans="1:7" x14ac:dyDescent="0.2">
      <c r="A46" s="4" t="s">
        <v>133</v>
      </c>
      <c r="B46" s="4" t="s">
        <v>151</v>
      </c>
      <c r="C46" s="4" t="s">
        <v>152</v>
      </c>
      <c r="D46" s="4" t="s">
        <v>153</v>
      </c>
      <c r="E46" s="3">
        <v>2021</v>
      </c>
      <c r="F46" s="5">
        <v>3.79</v>
      </c>
      <c r="G46" s="5">
        <v>3.79</v>
      </c>
    </row>
    <row r="47" spans="1:7" x14ac:dyDescent="0.2">
      <c r="A47" s="4" t="s">
        <v>133</v>
      </c>
      <c r="B47" s="4" t="s">
        <v>154</v>
      </c>
      <c r="C47" s="4" t="s">
        <v>155</v>
      </c>
      <c r="D47" s="4" t="s">
        <v>156</v>
      </c>
      <c r="E47" s="3">
        <v>2021</v>
      </c>
      <c r="F47" s="5">
        <v>3.58</v>
      </c>
      <c r="G47" s="5">
        <v>3.58</v>
      </c>
    </row>
    <row r="48" spans="1:7" x14ac:dyDescent="0.2">
      <c r="A48" s="4" t="s">
        <v>133</v>
      </c>
      <c r="B48" s="4" t="s">
        <v>157</v>
      </c>
      <c r="C48" s="4" t="s">
        <v>158</v>
      </c>
      <c r="D48" s="4" t="s">
        <v>4</v>
      </c>
      <c r="E48" s="3">
        <v>2021</v>
      </c>
      <c r="F48" s="5">
        <v>10.16</v>
      </c>
      <c r="G48" s="5">
        <v>10.16</v>
      </c>
    </row>
    <row r="49" spans="1:7" x14ac:dyDescent="0.2">
      <c r="A49" s="4" t="s">
        <v>159</v>
      </c>
      <c r="B49" s="4" t="s">
        <v>160</v>
      </c>
      <c r="C49" s="4" t="s">
        <v>161</v>
      </c>
      <c r="D49" s="4" t="s">
        <v>162</v>
      </c>
      <c r="E49" s="3">
        <v>2021</v>
      </c>
      <c r="F49" s="5">
        <v>5.85</v>
      </c>
      <c r="G49" s="5">
        <v>5.85</v>
      </c>
    </row>
    <row r="50" spans="1:7" x14ac:dyDescent="0.2">
      <c r="A50" s="4" t="s">
        <v>159</v>
      </c>
      <c r="B50" s="4" t="s">
        <v>163</v>
      </c>
      <c r="C50" s="4" t="s">
        <v>164</v>
      </c>
      <c r="D50" s="4" t="s">
        <v>165</v>
      </c>
      <c r="G50" s="5" t="s">
        <v>263</v>
      </c>
    </row>
    <row r="51" spans="1:7" x14ac:dyDescent="0.2">
      <c r="A51" s="4" t="s">
        <v>159</v>
      </c>
      <c r="B51" s="4" t="s">
        <v>166</v>
      </c>
      <c r="C51" s="4" t="s">
        <v>167</v>
      </c>
      <c r="D51" s="4" t="s">
        <v>168</v>
      </c>
      <c r="E51" s="3">
        <v>2020</v>
      </c>
      <c r="F51" s="5">
        <v>4.93</v>
      </c>
      <c r="G51" s="5">
        <f>(313.001/302.024)*F51</f>
        <v>5.1091798333907228</v>
      </c>
    </row>
    <row r="52" spans="1:7" x14ac:dyDescent="0.2">
      <c r="A52" s="4" t="s">
        <v>169</v>
      </c>
      <c r="B52" s="4" t="s">
        <v>170</v>
      </c>
      <c r="C52" s="4" t="s">
        <v>171</v>
      </c>
      <c r="D52" s="4" t="s">
        <v>172</v>
      </c>
      <c r="E52" s="3">
        <v>2021</v>
      </c>
      <c r="F52" s="5">
        <v>3.9</v>
      </c>
      <c r="G52" s="5">
        <v>3.9</v>
      </c>
    </row>
    <row r="53" spans="1:7" x14ac:dyDescent="0.2">
      <c r="A53" s="4" t="s">
        <v>169</v>
      </c>
      <c r="B53" s="4" t="s">
        <v>173</v>
      </c>
      <c r="C53" s="4" t="s">
        <v>174</v>
      </c>
      <c r="D53" s="4" t="s">
        <v>174</v>
      </c>
      <c r="E53" s="3">
        <v>2021</v>
      </c>
      <c r="F53" s="5">
        <v>3.35</v>
      </c>
      <c r="G53" s="5">
        <v>3.35</v>
      </c>
    </row>
    <row r="54" spans="1:7" x14ac:dyDescent="0.2">
      <c r="A54" s="4" t="s">
        <v>169</v>
      </c>
      <c r="B54" s="4" t="s">
        <v>20</v>
      </c>
      <c r="C54" s="4" t="s">
        <v>175</v>
      </c>
      <c r="D54" s="4" t="s">
        <v>32</v>
      </c>
      <c r="E54" s="3">
        <v>2021</v>
      </c>
      <c r="F54" s="5">
        <v>2.11</v>
      </c>
      <c r="G54" s="5">
        <v>2.11</v>
      </c>
    </row>
    <row r="55" spans="1:7" x14ac:dyDescent="0.2">
      <c r="A55" s="4" t="s">
        <v>169</v>
      </c>
      <c r="B55" s="4" t="s">
        <v>176</v>
      </c>
      <c r="C55" s="4" t="s">
        <v>177</v>
      </c>
      <c r="D55" s="4" t="s">
        <v>178</v>
      </c>
      <c r="E55" s="3">
        <v>2021</v>
      </c>
      <c r="F55" s="5">
        <v>3.46</v>
      </c>
      <c r="G55" s="5">
        <v>3.46</v>
      </c>
    </row>
    <row r="56" spans="1:7" x14ac:dyDescent="0.2">
      <c r="A56" s="4" t="s">
        <v>169</v>
      </c>
      <c r="B56" s="4" t="s">
        <v>179</v>
      </c>
      <c r="C56" s="4" t="s">
        <v>180</v>
      </c>
      <c r="D56" s="4" t="s">
        <v>181</v>
      </c>
      <c r="E56" s="3">
        <v>2021</v>
      </c>
      <c r="F56" s="5">
        <f>(4.25+4.42)/2</f>
        <v>4.335</v>
      </c>
      <c r="G56" s="5">
        <v>4.335</v>
      </c>
    </row>
    <row r="57" spans="1:7" x14ac:dyDescent="0.2">
      <c r="A57" s="4" t="s">
        <v>169</v>
      </c>
      <c r="B57" s="4" t="s">
        <v>182</v>
      </c>
      <c r="C57" s="4" t="s">
        <v>183</v>
      </c>
      <c r="D57" s="4" t="s">
        <v>183</v>
      </c>
      <c r="G57" s="5" t="s">
        <v>263</v>
      </c>
    </row>
    <row r="58" spans="1:7" x14ac:dyDescent="0.2">
      <c r="A58" s="4" t="s">
        <v>169</v>
      </c>
      <c r="B58" s="4" t="s">
        <v>184</v>
      </c>
      <c r="C58" s="4" t="s">
        <v>185</v>
      </c>
      <c r="D58" s="4" t="s">
        <v>185</v>
      </c>
      <c r="E58" s="3">
        <v>2021</v>
      </c>
      <c r="F58" s="5">
        <v>2.95</v>
      </c>
      <c r="G58" s="5">
        <v>2.95</v>
      </c>
    </row>
    <row r="59" spans="1:7" x14ac:dyDescent="0.2">
      <c r="A59" s="4" t="s">
        <v>169</v>
      </c>
      <c r="B59" s="4" t="s">
        <v>186</v>
      </c>
      <c r="C59" s="4" t="s">
        <v>187</v>
      </c>
      <c r="D59" s="4" t="s">
        <v>187</v>
      </c>
      <c r="G59" s="5" t="s">
        <v>263</v>
      </c>
    </row>
    <row r="60" spans="1:7" x14ac:dyDescent="0.2">
      <c r="A60" s="4" t="s">
        <v>169</v>
      </c>
      <c r="B60" s="4" t="s">
        <v>188</v>
      </c>
      <c r="C60" s="4" t="s">
        <v>189</v>
      </c>
      <c r="D60" s="4" t="s">
        <v>190</v>
      </c>
      <c r="G60" s="5" t="s">
        <v>263</v>
      </c>
    </row>
    <row r="61" spans="1:7" x14ac:dyDescent="0.2">
      <c r="A61" s="4" t="s">
        <v>169</v>
      </c>
      <c r="B61" s="4" t="s">
        <v>191</v>
      </c>
      <c r="C61" s="4" t="s">
        <v>192</v>
      </c>
      <c r="D61" s="4" t="s">
        <v>191</v>
      </c>
      <c r="G61" s="5" t="s">
        <v>263</v>
      </c>
    </row>
    <row r="62" spans="1:7" x14ac:dyDescent="0.2">
      <c r="A62" s="4" t="s">
        <v>169</v>
      </c>
      <c r="B62" s="4" t="s">
        <v>193</v>
      </c>
      <c r="C62" s="4" t="s">
        <v>194</v>
      </c>
      <c r="D62" s="4" t="s">
        <v>194</v>
      </c>
      <c r="E62" s="3">
        <v>2013</v>
      </c>
      <c r="F62" s="5" t="e">
        <f>0.565827074*#REF!</f>
        <v>#REF!</v>
      </c>
      <c r="G62" s="5" t="e">
        <f>(313.001/250.72)*F62</f>
        <v>#REF!</v>
      </c>
    </row>
    <row r="63" spans="1:7" x14ac:dyDescent="0.2">
      <c r="A63" s="4" t="s">
        <v>169</v>
      </c>
      <c r="B63" s="4" t="s">
        <v>195</v>
      </c>
      <c r="C63" s="4" t="s">
        <v>196</v>
      </c>
      <c r="D63" s="4" t="s">
        <v>196</v>
      </c>
      <c r="G63" s="5" t="s">
        <v>263</v>
      </c>
    </row>
    <row r="64" spans="1:7" x14ac:dyDescent="0.2">
      <c r="A64" s="4" t="s">
        <v>169</v>
      </c>
      <c r="B64" s="4" t="s">
        <v>197</v>
      </c>
      <c r="C64" s="4" t="s">
        <v>198</v>
      </c>
      <c r="D64" s="4" t="s">
        <v>199</v>
      </c>
      <c r="E64" s="3">
        <v>2013</v>
      </c>
      <c r="F64" s="5" t="e">
        <f>0.565827074*#REF!</f>
        <v>#REF!</v>
      </c>
      <c r="G64" s="5" t="e">
        <f>(313.001/250.72)*F64</f>
        <v>#REF!</v>
      </c>
    </row>
    <row r="65" spans="1:7" x14ac:dyDescent="0.2">
      <c r="A65" s="4" t="s">
        <v>169</v>
      </c>
      <c r="B65" s="4" t="s">
        <v>200</v>
      </c>
      <c r="C65" s="4" t="s">
        <v>201</v>
      </c>
      <c r="D65" s="4" t="s">
        <v>201</v>
      </c>
      <c r="G65" s="5" t="s">
        <v>263</v>
      </c>
    </row>
    <row r="66" spans="1:7" x14ac:dyDescent="0.2">
      <c r="A66" s="4" t="s">
        <v>169</v>
      </c>
      <c r="B66" s="4" t="s">
        <v>202</v>
      </c>
      <c r="C66" s="4" t="s">
        <v>203</v>
      </c>
      <c r="D66" s="4" t="s">
        <v>204</v>
      </c>
      <c r="E66" s="3">
        <v>2021</v>
      </c>
      <c r="F66" s="5">
        <v>9.57</v>
      </c>
      <c r="G66" s="5">
        <v>9.57</v>
      </c>
    </row>
    <row r="67" spans="1:7" x14ac:dyDescent="0.2">
      <c r="A67" s="4" t="s">
        <v>169</v>
      </c>
      <c r="B67" s="4" t="s">
        <v>205</v>
      </c>
      <c r="C67" s="4" t="s">
        <v>206</v>
      </c>
      <c r="D67" s="4" t="s">
        <v>207</v>
      </c>
      <c r="E67" s="3">
        <v>2021</v>
      </c>
      <c r="F67" s="5">
        <v>4.9800000000000004</v>
      </c>
      <c r="G67" s="5">
        <v>4.9800000000000004</v>
      </c>
    </row>
    <row r="68" spans="1:7" x14ac:dyDescent="0.2">
      <c r="A68" s="4" t="s">
        <v>169</v>
      </c>
      <c r="B68" s="4" t="s">
        <v>208</v>
      </c>
      <c r="C68" s="4" t="s">
        <v>209</v>
      </c>
      <c r="D68" s="4" t="s">
        <v>209</v>
      </c>
      <c r="G68" s="5" t="s">
        <v>263</v>
      </c>
    </row>
    <row r="69" spans="1:7" x14ac:dyDescent="0.2">
      <c r="A69" s="4" t="s">
        <v>169</v>
      </c>
      <c r="B69" s="4" t="s">
        <v>210</v>
      </c>
      <c r="C69" s="4" t="s">
        <v>211</v>
      </c>
      <c r="D69" s="4" t="s">
        <v>6</v>
      </c>
      <c r="E69" s="3">
        <v>2021</v>
      </c>
      <c r="F69" s="5">
        <v>2.2000000000000002</v>
      </c>
      <c r="G69" s="5">
        <v>2.2000000000000002</v>
      </c>
    </row>
    <row r="70" spans="1:7" x14ac:dyDescent="0.2">
      <c r="A70" s="4" t="s">
        <v>169</v>
      </c>
      <c r="B70" s="4" t="s">
        <v>212</v>
      </c>
      <c r="C70" s="4" t="s">
        <v>213</v>
      </c>
      <c r="D70" s="4" t="s">
        <v>214</v>
      </c>
      <c r="E70" s="3">
        <v>2021</v>
      </c>
      <c r="F70" s="5">
        <v>4.8099999999999996</v>
      </c>
      <c r="G70" s="5">
        <v>4.8099999999999996</v>
      </c>
    </row>
    <row r="71" spans="1:7" x14ac:dyDescent="0.2">
      <c r="A71" s="4" t="s">
        <v>169</v>
      </c>
      <c r="B71" s="4" t="s">
        <v>215</v>
      </c>
      <c r="C71" s="4" t="s">
        <v>216</v>
      </c>
      <c r="D71" s="4" t="s">
        <v>216</v>
      </c>
      <c r="E71" s="3">
        <v>2020</v>
      </c>
      <c r="F71" s="5">
        <v>2.11</v>
      </c>
      <c r="G71" s="5">
        <f>(313.001/302.024)*F71</f>
        <v>2.1866875148994778</v>
      </c>
    </row>
    <row r="72" spans="1:7" x14ac:dyDescent="0.2">
      <c r="A72" s="4" t="s">
        <v>169</v>
      </c>
      <c r="B72" s="4" t="s">
        <v>217</v>
      </c>
      <c r="C72" s="4" t="s">
        <v>218</v>
      </c>
      <c r="D72" s="4" t="s">
        <v>219</v>
      </c>
      <c r="E72" s="3">
        <v>2021</v>
      </c>
      <c r="F72" s="5">
        <v>2.95</v>
      </c>
      <c r="G72" s="5">
        <v>2.95</v>
      </c>
    </row>
    <row r="73" spans="1:7" x14ac:dyDescent="0.2">
      <c r="A73" s="4" t="s">
        <v>169</v>
      </c>
      <c r="B73" s="4" t="s">
        <v>23</v>
      </c>
      <c r="C73" s="4" t="s">
        <v>220</v>
      </c>
      <c r="D73" s="4" t="s">
        <v>220</v>
      </c>
      <c r="E73" s="3">
        <v>2021</v>
      </c>
      <c r="F73" s="5">
        <v>2.41</v>
      </c>
      <c r="G73" s="5">
        <v>2.41</v>
      </c>
    </row>
    <row r="74" spans="1:7" x14ac:dyDescent="0.2">
      <c r="A74" s="4" t="s">
        <v>169</v>
      </c>
      <c r="B74" s="4" t="s">
        <v>221</v>
      </c>
      <c r="C74" s="4" t="s">
        <v>222</v>
      </c>
      <c r="D74" s="4" t="s">
        <v>223</v>
      </c>
      <c r="G74" s="5" t="s">
        <v>263</v>
      </c>
    </row>
    <row r="75" spans="1:7" x14ac:dyDescent="0.2">
      <c r="A75" s="4" t="s">
        <v>169</v>
      </c>
      <c r="B75" s="4" t="s">
        <v>224</v>
      </c>
      <c r="C75" s="4" t="s">
        <v>225</v>
      </c>
      <c r="D75" s="4" t="s">
        <v>225</v>
      </c>
      <c r="E75" s="3">
        <v>2021</v>
      </c>
      <c r="F75" s="5">
        <v>2.61</v>
      </c>
      <c r="G75" s="5">
        <v>2.61</v>
      </c>
    </row>
    <row r="76" spans="1:7" x14ac:dyDescent="0.2">
      <c r="A76" s="4" t="s">
        <v>169</v>
      </c>
      <c r="B76" s="4" t="s">
        <v>226</v>
      </c>
      <c r="C76" s="4" t="s">
        <v>227</v>
      </c>
      <c r="D76" s="4" t="s">
        <v>227</v>
      </c>
      <c r="G76" s="5" t="s">
        <v>263</v>
      </c>
    </row>
    <row r="77" spans="1:7" x14ac:dyDescent="0.2">
      <c r="A77" s="4" t="s">
        <v>169</v>
      </c>
      <c r="B77" s="4" t="s">
        <v>228</v>
      </c>
      <c r="C77" s="4" t="s">
        <v>229</v>
      </c>
      <c r="D77" s="4" t="s">
        <v>230</v>
      </c>
      <c r="G77" s="5" t="s">
        <v>263</v>
      </c>
    </row>
    <row r="78" spans="1:7" x14ac:dyDescent="0.2">
      <c r="A78" s="4" t="s">
        <v>169</v>
      </c>
      <c r="B78" s="4" t="s">
        <v>231</v>
      </c>
      <c r="C78" s="4" t="s">
        <v>232</v>
      </c>
      <c r="D78" s="4" t="s">
        <v>232</v>
      </c>
      <c r="G78" s="5" t="s">
        <v>263</v>
      </c>
    </row>
    <row r="79" spans="1:7" x14ac:dyDescent="0.2">
      <c r="A79" s="4" t="s">
        <v>169</v>
      </c>
      <c r="B79" s="4" t="s">
        <v>233</v>
      </c>
      <c r="C79" s="4" t="s">
        <v>234</v>
      </c>
      <c r="D79" s="4" t="s">
        <v>234</v>
      </c>
      <c r="E79" s="4"/>
      <c r="G79" s="5" t="s">
        <v>263</v>
      </c>
    </row>
    <row r="80" spans="1:7" x14ac:dyDescent="0.2">
      <c r="A80" s="4" t="s">
        <v>169</v>
      </c>
      <c r="B80" s="4" t="s">
        <v>18</v>
      </c>
      <c r="C80" s="4" t="s">
        <v>235</v>
      </c>
      <c r="D80" s="4" t="s">
        <v>18</v>
      </c>
      <c r="E80" s="3">
        <v>2015</v>
      </c>
      <c r="F80" s="5">
        <v>2.82</v>
      </c>
      <c r="G80" s="5">
        <f>(313.001/267.643)*F80</f>
        <v>3.2979110979924751</v>
      </c>
    </row>
    <row r="81" spans="1:7" x14ac:dyDescent="0.2">
      <c r="A81" s="4" t="s">
        <v>169</v>
      </c>
      <c r="B81" s="4" t="s">
        <v>26</v>
      </c>
      <c r="C81" s="4" t="s">
        <v>236</v>
      </c>
      <c r="D81" s="4" t="s">
        <v>236</v>
      </c>
      <c r="E81" s="3">
        <v>2020</v>
      </c>
      <c r="F81" s="5">
        <v>3.11</v>
      </c>
      <c r="G81" s="5">
        <f>(313.001/302.024)*F81</f>
        <v>3.2230323086906996</v>
      </c>
    </row>
    <row r="82" spans="1:7" x14ac:dyDescent="0.2">
      <c r="A82" s="4" t="s">
        <v>169</v>
      </c>
      <c r="B82" s="4" t="s">
        <v>237</v>
      </c>
      <c r="C82" s="4" t="s">
        <v>238</v>
      </c>
      <c r="D82" s="4" t="s">
        <v>237</v>
      </c>
      <c r="E82" s="3">
        <v>2020</v>
      </c>
      <c r="F82" s="5">
        <v>2.2200000000000002</v>
      </c>
      <c r="G82" s="5">
        <f>(313.001/302.024)*F82</f>
        <v>2.3006854422165124</v>
      </c>
    </row>
    <row r="83" spans="1:7" x14ac:dyDescent="0.2">
      <c r="A83" s="4" t="s">
        <v>169</v>
      </c>
      <c r="B83" s="4" t="s">
        <v>239</v>
      </c>
      <c r="C83" s="4" t="s">
        <v>240</v>
      </c>
      <c r="D83" s="4" t="s">
        <v>239</v>
      </c>
      <c r="G83" s="5" t="s">
        <v>263</v>
      </c>
    </row>
    <row r="84" spans="1:7" x14ac:dyDescent="0.2">
      <c r="A84" s="4" t="s">
        <v>169</v>
      </c>
      <c r="B84" s="4" t="s">
        <v>241</v>
      </c>
      <c r="C84" s="4"/>
      <c r="D84" s="4" t="s">
        <v>241</v>
      </c>
      <c r="E84" s="3">
        <v>2018</v>
      </c>
      <c r="F84" s="5">
        <v>2.97</v>
      </c>
      <c r="G84" s="5">
        <f>(313.001/282.565)*F84</f>
        <v>3.2899084104542315</v>
      </c>
    </row>
    <row r="85" spans="1:7" x14ac:dyDescent="0.2">
      <c r="A85" s="4" t="s">
        <v>242</v>
      </c>
      <c r="B85" s="4" t="s">
        <v>243</v>
      </c>
      <c r="C85" s="4" t="s">
        <v>244</v>
      </c>
      <c r="D85" s="4" t="s">
        <v>245</v>
      </c>
      <c r="E85" s="3">
        <v>2021</v>
      </c>
      <c r="F85" s="5">
        <v>5.0599999999999996</v>
      </c>
      <c r="G85" s="5">
        <v>5.0599999999999996</v>
      </c>
    </row>
    <row r="86" spans="1:7" x14ac:dyDescent="0.2">
      <c r="A86" s="4" t="s">
        <v>242</v>
      </c>
      <c r="B86" s="4" t="s">
        <v>246</v>
      </c>
      <c r="C86" s="4" t="s">
        <v>247</v>
      </c>
      <c r="D86" s="4" t="s">
        <v>248</v>
      </c>
      <c r="G86" s="5" t="s">
        <v>263</v>
      </c>
    </row>
    <row r="87" spans="1:7" x14ac:dyDescent="0.2">
      <c r="A87" s="4" t="s">
        <v>242</v>
      </c>
      <c r="B87" s="4" t="s">
        <v>249</v>
      </c>
      <c r="C87" s="4" t="s">
        <v>250</v>
      </c>
      <c r="D87" s="4" t="s">
        <v>251</v>
      </c>
      <c r="E87" s="3">
        <v>2021</v>
      </c>
      <c r="F87" s="5">
        <v>5.76</v>
      </c>
      <c r="G87" s="5">
        <v>5.76</v>
      </c>
    </row>
    <row r="88" spans="1:7" x14ac:dyDescent="0.2">
      <c r="A88" s="4" t="s">
        <v>252</v>
      </c>
      <c r="B88" s="4" t="s">
        <v>253</v>
      </c>
      <c r="C88" s="4" t="s">
        <v>254</v>
      </c>
      <c r="D88" s="4" t="s">
        <v>255</v>
      </c>
      <c r="E88" s="3">
        <v>2021</v>
      </c>
      <c r="F88" s="5">
        <v>3.66</v>
      </c>
      <c r="G88" s="5">
        <v>3.66</v>
      </c>
    </row>
    <row r="89" spans="1:7" x14ac:dyDescent="0.2">
      <c r="A89" s="4" t="s">
        <v>252</v>
      </c>
      <c r="B89" s="4" t="s">
        <v>256</v>
      </c>
      <c r="C89" s="4" t="s">
        <v>254</v>
      </c>
      <c r="D89" s="4" t="s">
        <v>257</v>
      </c>
      <c r="E89" s="3">
        <v>2021</v>
      </c>
      <c r="F89" s="5">
        <v>3.21</v>
      </c>
      <c r="G89" s="5">
        <v>3.21</v>
      </c>
    </row>
    <row r="90" spans="1:7" x14ac:dyDescent="0.2">
      <c r="A90" s="4" t="s">
        <v>252</v>
      </c>
      <c r="B90" s="4" t="s">
        <v>258</v>
      </c>
      <c r="C90" s="4" t="s">
        <v>259</v>
      </c>
      <c r="D90" s="4" t="s">
        <v>260</v>
      </c>
      <c r="E90" s="3">
        <v>2021</v>
      </c>
      <c r="F90" s="5">
        <v>3.06</v>
      </c>
      <c r="G90" s="5">
        <v>3.06</v>
      </c>
    </row>
    <row r="91" spans="1:7" x14ac:dyDescent="0.2">
      <c r="A91" s="4" t="s">
        <v>252</v>
      </c>
      <c r="B91" s="4" t="s">
        <v>261</v>
      </c>
      <c r="C91" s="4" t="s">
        <v>262</v>
      </c>
      <c r="D91" s="4" t="s">
        <v>262</v>
      </c>
      <c r="G91" s="5" t="s">
        <v>263</v>
      </c>
    </row>
    <row r="92" spans="1:7" x14ac:dyDescent="0.2">
      <c r="A92" s="4" t="s">
        <v>264</v>
      </c>
      <c r="B92" s="4" t="s">
        <v>265</v>
      </c>
      <c r="C92" s="4" t="s">
        <v>266</v>
      </c>
      <c r="D92" s="4" t="s">
        <v>267</v>
      </c>
      <c r="G92" s="5" t="s">
        <v>263</v>
      </c>
    </row>
    <row r="93" spans="1:7" x14ac:dyDescent="0.2">
      <c r="A93" s="4" t="s">
        <v>264</v>
      </c>
      <c r="B93" s="4" t="s">
        <v>268</v>
      </c>
      <c r="C93" s="4" t="s">
        <v>269</v>
      </c>
      <c r="D93" s="4" t="s">
        <v>269</v>
      </c>
      <c r="E93" s="3">
        <v>2021</v>
      </c>
      <c r="F93" s="5">
        <v>2.16</v>
      </c>
      <c r="G93" s="5">
        <v>2.16</v>
      </c>
    </row>
    <row r="94" spans="1:7" x14ac:dyDescent="0.2">
      <c r="A94" s="4" t="s">
        <v>264</v>
      </c>
      <c r="B94" s="4" t="s">
        <v>270</v>
      </c>
      <c r="C94" s="4" t="s">
        <v>271</v>
      </c>
      <c r="D94" s="4" t="s">
        <v>271</v>
      </c>
      <c r="E94" s="3">
        <v>2021</v>
      </c>
      <c r="F94" s="5">
        <v>4.66</v>
      </c>
      <c r="G94" s="5">
        <v>4.66</v>
      </c>
    </row>
    <row r="95" spans="1:7" x14ac:dyDescent="0.2">
      <c r="A95" s="4" t="s">
        <v>264</v>
      </c>
      <c r="B95" s="4" t="s">
        <v>272</v>
      </c>
      <c r="C95" s="4" t="s">
        <v>8</v>
      </c>
      <c r="D95" s="4" t="s">
        <v>8</v>
      </c>
      <c r="E95" s="3">
        <v>2021</v>
      </c>
      <c r="F95" s="5">
        <v>4.3899999999999997</v>
      </c>
      <c r="G95" s="5">
        <v>4.3899999999999997</v>
      </c>
    </row>
    <row r="96" spans="1:7" x14ac:dyDescent="0.2">
      <c r="A96" s="4" t="s">
        <v>264</v>
      </c>
      <c r="B96" s="4" t="s">
        <v>273</v>
      </c>
      <c r="C96" s="4" t="s">
        <v>274</v>
      </c>
      <c r="D96" s="4" t="s">
        <v>275</v>
      </c>
      <c r="G96" s="5" t="s">
        <v>263</v>
      </c>
    </row>
    <row r="97" spans="1:7" x14ac:dyDescent="0.2">
      <c r="A97" s="4" t="s">
        <v>276</v>
      </c>
      <c r="B97" s="4" t="s">
        <v>277</v>
      </c>
      <c r="C97" s="4" t="s">
        <v>278</v>
      </c>
      <c r="D97" s="4" t="s">
        <v>278</v>
      </c>
      <c r="E97" s="3">
        <v>2013</v>
      </c>
      <c r="F97" s="5" t="e">
        <f>0.565827074*#REF!</f>
        <v>#REF!</v>
      </c>
      <c r="G97" s="5" t="e">
        <f>(313.001/250.72)*F97</f>
        <v>#REF!</v>
      </c>
    </row>
    <row r="98" spans="1:7" x14ac:dyDescent="0.2">
      <c r="A98" s="4" t="s">
        <v>276</v>
      </c>
      <c r="B98" s="4" t="s">
        <v>279</v>
      </c>
      <c r="C98" s="4" t="s">
        <v>280</v>
      </c>
      <c r="D98" s="4" t="s">
        <v>281</v>
      </c>
      <c r="G98" s="5" t="s">
        <v>263</v>
      </c>
    </row>
    <row r="99" spans="1:7" x14ac:dyDescent="0.2">
      <c r="A99" s="4" t="s">
        <v>276</v>
      </c>
      <c r="B99" s="4" t="s">
        <v>282</v>
      </c>
      <c r="C99" s="4" t="s">
        <v>283</v>
      </c>
      <c r="D99" s="4" t="s">
        <v>3</v>
      </c>
      <c r="E99" s="3">
        <v>2021</v>
      </c>
      <c r="F99" s="5">
        <v>5.42</v>
      </c>
      <c r="G99" s="5">
        <v>5.42</v>
      </c>
    </row>
    <row r="100" spans="1:7" x14ac:dyDescent="0.2">
      <c r="A100" s="4" t="s">
        <v>276</v>
      </c>
      <c r="B100" s="4" t="s">
        <v>284</v>
      </c>
      <c r="C100" s="4" t="s">
        <v>285</v>
      </c>
      <c r="D100" s="4" t="s">
        <v>286</v>
      </c>
      <c r="E100" s="3">
        <v>2021</v>
      </c>
      <c r="F100" s="5">
        <v>5.01</v>
      </c>
      <c r="G100" s="5">
        <v>5.01</v>
      </c>
    </row>
    <row r="101" spans="1:7" x14ac:dyDescent="0.2">
      <c r="A101" s="4" t="s">
        <v>287</v>
      </c>
      <c r="B101" s="4" t="s">
        <v>288</v>
      </c>
      <c r="C101" s="4" t="s">
        <v>289</v>
      </c>
      <c r="D101" s="4" t="s">
        <v>0</v>
      </c>
      <c r="E101" s="3">
        <v>2021</v>
      </c>
      <c r="F101" s="5">
        <v>3.97</v>
      </c>
      <c r="G101" s="5">
        <v>3.97</v>
      </c>
    </row>
    <row r="102" spans="1:7" x14ac:dyDescent="0.2">
      <c r="A102" s="4" t="s">
        <v>287</v>
      </c>
      <c r="B102" s="4" t="s">
        <v>290</v>
      </c>
      <c r="C102" s="4" t="s">
        <v>291</v>
      </c>
      <c r="D102" s="4" t="s">
        <v>292</v>
      </c>
      <c r="G102" s="5" t="s">
        <v>263</v>
      </c>
    </row>
    <row r="103" spans="1:7" x14ac:dyDescent="0.2">
      <c r="A103" s="4" t="s">
        <v>287</v>
      </c>
      <c r="B103" s="4" t="s">
        <v>293</v>
      </c>
      <c r="C103" s="4" t="s">
        <v>1</v>
      </c>
      <c r="D103" s="4" t="s">
        <v>1</v>
      </c>
      <c r="E103" s="3">
        <v>2021</v>
      </c>
      <c r="F103" s="5">
        <v>1.94</v>
      </c>
      <c r="G103" s="5">
        <v>1.94</v>
      </c>
    </row>
    <row r="104" spans="1:7" x14ac:dyDescent="0.2">
      <c r="A104" s="4" t="s">
        <v>287</v>
      </c>
      <c r="B104" s="4" t="s">
        <v>294</v>
      </c>
      <c r="C104" s="4" t="s">
        <v>295</v>
      </c>
      <c r="D104" s="4" t="s">
        <v>295</v>
      </c>
      <c r="G104" s="5" t="s">
        <v>263</v>
      </c>
    </row>
    <row r="105" spans="1:7" x14ac:dyDescent="0.2">
      <c r="A105" s="4" t="s">
        <v>287</v>
      </c>
      <c r="B105" s="4" t="s">
        <v>296</v>
      </c>
      <c r="C105" s="4" t="s">
        <v>2</v>
      </c>
      <c r="D105" s="4" t="s">
        <v>2</v>
      </c>
      <c r="E105" s="3">
        <v>2021</v>
      </c>
      <c r="F105" s="5">
        <v>3.39</v>
      </c>
      <c r="G105" s="5">
        <v>3.39</v>
      </c>
    </row>
    <row r="106" spans="1:7" x14ac:dyDescent="0.2">
      <c r="A106" s="4" t="s">
        <v>287</v>
      </c>
      <c r="B106" s="4" t="s">
        <v>297</v>
      </c>
      <c r="C106" s="4" t="s">
        <v>5</v>
      </c>
      <c r="D106" s="4" t="s">
        <v>5</v>
      </c>
      <c r="E106" s="3">
        <v>2021</v>
      </c>
      <c r="F106" s="5">
        <v>2.0099999999999998</v>
      </c>
      <c r="G106" s="5">
        <v>2.0099999999999998</v>
      </c>
    </row>
    <row r="107" spans="1:7" x14ac:dyDescent="0.2">
      <c r="A107" s="4" t="s">
        <v>287</v>
      </c>
      <c r="B107" s="4" t="s">
        <v>298</v>
      </c>
      <c r="C107" s="4" t="s">
        <v>299</v>
      </c>
      <c r="D107" s="4" t="s">
        <v>298</v>
      </c>
      <c r="E107" s="3">
        <v>2020</v>
      </c>
      <c r="F107" s="5">
        <v>2.14</v>
      </c>
      <c r="G107" s="5">
        <f>(313.001/302.024)*F107</f>
        <v>2.2177778587132146</v>
      </c>
    </row>
    <row r="108" spans="1:7" x14ac:dyDescent="0.2">
      <c r="A108" s="4" t="s">
        <v>287</v>
      </c>
      <c r="B108" s="4" t="s">
        <v>300</v>
      </c>
      <c r="C108" s="4" t="s">
        <v>301</v>
      </c>
      <c r="D108" s="4" t="s">
        <v>301</v>
      </c>
      <c r="E108" s="3">
        <v>2017</v>
      </c>
      <c r="F108" s="5">
        <v>2.0099999999999998</v>
      </c>
      <c r="G108" s="5">
        <f>(313.001/278.202)*F108</f>
        <v>2.2614215929432566</v>
      </c>
    </row>
    <row r="109" spans="1:7" x14ac:dyDescent="0.2">
      <c r="A109" s="4" t="s">
        <v>287</v>
      </c>
      <c r="B109" s="4" t="s">
        <v>39</v>
      </c>
      <c r="C109" s="4" t="s">
        <v>302</v>
      </c>
      <c r="D109" s="4" t="s">
        <v>17</v>
      </c>
      <c r="E109" s="3">
        <v>2021</v>
      </c>
      <c r="F109" s="5">
        <v>2.13</v>
      </c>
      <c r="G109" s="5">
        <v>2.13</v>
      </c>
    </row>
    <row r="110" spans="1:7" x14ac:dyDescent="0.2">
      <c r="A110" s="4" t="s">
        <v>287</v>
      </c>
      <c r="B110" s="4" t="s">
        <v>303</v>
      </c>
      <c r="C110" s="4" t="s">
        <v>304</v>
      </c>
      <c r="D110" s="4" t="s">
        <v>305</v>
      </c>
      <c r="E110" s="3">
        <v>2021</v>
      </c>
      <c r="F110" s="5">
        <v>2.42</v>
      </c>
      <c r="G110" s="5">
        <v>2.42</v>
      </c>
    </row>
    <row r="111" spans="1:7" x14ac:dyDescent="0.2">
      <c r="A111" s="4" t="s">
        <v>287</v>
      </c>
      <c r="B111" s="4" t="s">
        <v>306</v>
      </c>
      <c r="C111" s="4" t="s">
        <v>307</v>
      </c>
      <c r="D111" s="4" t="s">
        <v>308</v>
      </c>
      <c r="E111" s="3">
        <v>2021</v>
      </c>
      <c r="F111" s="5">
        <v>2.4300000000000002</v>
      </c>
      <c r="G111" s="5">
        <v>2.4300000000000002</v>
      </c>
    </row>
    <row r="112" spans="1:7" x14ac:dyDescent="0.2">
      <c r="A112" s="4" t="s">
        <v>287</v>
      </c>
      <c r="B112" s="4" t="s">
        <v>309</v>
      </c>
      <c r="C112" s="4" t="s">
        <v>310</v>
      </c>
      <c r="D112" s="4" t="s">
        <v>310</v>
      </c>
      <c r="E112" s="3">
        <v>2016</v>
      </c>
      <c r="F112" s="5">
        <v>2.36</v>
      </c>
      <c r="G112" s="5">
        <f>(313.001/272.998)*F112</f>
        <v>2.7058160133041267</v>
      </c>
    </row>
    <row r="113" spans="1:7" x14ac:dyDescent="0.2">
      <c r="A113" s="4" t="s">
        <v>311</v>
      </c>
      <c r="B113" s="4" t="s">
        <v>312</v>
      </c>
      <c r="C113" s="4" t="s">
        <v>37</v>
      </c>
      <c r="D113" s="4" t="s">
        <v>37</v>
      </c>
      <c r="E113" s="3">
        <v>2021</v>
      </c>
      <c r="F113" s="5">
        <v>2.2000000000000002</v>
      </c>
      <c r="G113" s="5">
        <v>2.2000000000000002</v>
      </c>
    </row>
    <row r="114" spans="1:7" x14ac:dyDescent="0.2">
      <c r="A114" s="4" t="s">
        <v>311</v>
      </c>
      <c r="B114" s="4" t="s">
        <v>313</v>
      </c>
      <c r="C114" s="4" t="s">
        <v>314</v>
      </c>
      <c r="D114" s="4" t="s">
        <v>315</v>
      </c>
      <c r="E114" s="3">
        <v>2021</v>
      </c>
      <c r="F114" s="5">
        <v>1.91</v>
      </c>
      <c r="G114" s="5">
        <v>1.91</v>
      </c>
    </row>
    <row r="115" spans="1:7" x14ac:dyDescent="0.2">
      <c r="A115" s="4" t="s">
        <v>311</v>
      </c>
      <c r="B115" s="4" t="s">
        <v>316</v>
      </c>
      <c r="C115" s="4" t="s">
        <v>317</v>
      </c>
      <c r="D115" s="4" t="s">
        <v>318</v>
      </c>
      <c r="E115" s="3">
        <v>2021</v>
      </c>
      <c r="F115" s="5">
        <v>2.63</v>
      </c>
      <c r="G115" s="5">
        <v>2.63</v>
      </c>
    </row>
    <row r="116" spans="1:7" x14ac:dyDescent="0.2">
      <c r="A116" s="4" t="s">
        <v>319</v>
      </c>
      <c r="B116" s="4" t="s">
        <v>320</v>
      </c>
      <c r="C116" s="4" t="s">
        <v>321</v>
      </c>
      <c r="D116" s="4" t="s">
        <v>321</v>
      </c>
      <c r="E116" s="3">
        <v>2021</v>
      </c>
      <c r="F116" s="5">
        <v>2.09</v>
      </c>
      <c r="G116" s="5">
        <v>2.09</v>
      </c>
    </row>
    <row r="117" spans="1:7" x14ac:dyDescent="0.2">
      <c r="A117" s="4" t="s">
        <v>319</v>
      </c>
      <c r="B117" s="4" t="s">
        <v>322</v>
      </c>
      <c r="C117" s="4" t="s">
        <v>323</v>
      </c>
      <c r="D117" s="4" t="s">
        <v>322</v>
      </c>
      <c r="G117" s="5" t="s">
        <v>263</v>
      </c>
    </row>
    <row r="118" spans="1:7" x14ac:dyDescent="0.2">
      <c r="A118" s="4" t="s">
        <v>319</v>
      </c>
      <c r="B118" s="4" t="s">
        <v>324</v>
      </c>
      <c r="C118" s="4" t="s">
        <v>325</v>
      </c>
      <c r="D118" s="4" t="s">
        <v>325</v>
      </c>
      <c r="G118" s="5" t="s">
        <v>263</v>
      </c>
    </row>
    <row r="119" spans="1:7" x14ac:dyDescent="0.2">
      <c r="A119" s="4" t="s">
        <v>319</v>
      </c>
      <c r="B119" s="4" t="s">
        <v>326</v>
      </c>
      <c r="C119" s="4" t="s">
        <v>327</v>
      </c>
      <c r="D119" s="4" t="s">
        <v>327</v>
      </c>
      <c r="G119" s="5" t="s">
        <v>263</v>
      </c>
    </row>
    <row r="120" spans="1:7" x14ac:dyDescent="0.2">
      <c r="A120" s="4" t="s">
        <v>319</v>
      </c>
      <c r="B120" s="4" t="s">
        <v>328</v>
      </c>
      <c r="C120" s="4" t="s">
        <v>329</v>
      </c>
      <c r="D120" s="4" t="s">
        <v>330</v>
      </c>
      <c r="E120" s="3">
        <v>2013</v>
      </c>
      <c r="F120" s="5">
        <v>2.16</v>
      </c>
      <c r="G120" s="5">
        <f>(313.001/250.72)*F120</f>
        <v>2.6965625398851305</v>
      </c>
    </row>
    <row r="121" spans="1:7" x14ac:dyDescent="0.2">
      <c r="A121" s="4" t="s">
        <v>319</v>
      </c>
      <c r="B121" s="4" t="s">
        <v>331</v>
      </c>
      <c r="C121" s="4" t="s">
        <v>332</v>
      </c>
      <c r="D121" s="4" t="s">
        <v>333</v>
      </c>
      <c r="E121" s="3">
        <v>2021</v>
      </c>
      <c r="F121" s="5">
        <v>11.08</v>
      </c>
      <c r="G121" s="5">
        <v>11.08</v>
      </c>
    </row>
    <row r="122" spans="1:7" x14ac:dyDescent="0.2">
      <c r="A122" s="4" t="s">
        <v>319</v>
      </c>
      <c r="B122" s="4" t="s">
        <v>334</v>
      </c>
      <c r="C122" s="4" t="s">
        <v>335</v>
      </c>
      <c r="D122" s="4" t="s">
        <v>336</v>
      </c>
      <c r="G122" s="5" t="s">
        <v>263</v>
      </c>
    </row>
    <row r="123" spans="1:7" x14ac:dyDescent="0.2">
      <c r="A123" s="4" t="s">
        <v>319</v>
      </c>
      <c r="B123" s="4" t="s">
        <v>337</v>
      </c>
      <c r="C123" s="4" t="s">
        <v>338</v>
      </c>
      <c r="D123" s="4" t="s">
        <v>338</v>
      </c>
      <c r="G123" s="5" t="s">
        <v>263</v>
      </c>
    </row>
    <row r="124" spans="1:7" x14ac:dyDescent="0.2">
      <c r="A124" s="4" t="s">
        <v>319</v>
      </c>
      <c r="B124" s="4" t="s">
        <v>339</v>
      </c>
      <c r="C124" s="4" t="s">
        <v>340</v>
      </c>
      <c r="D124" s="4" t="s">
        <v>340</v>
      </c>
      <c r="G124" s="5" t="s">
        <v>263</v>
      </c>
    </row>
    <row r="125" spans="1:7" x14ac:dyDescent="0.2">
      <c r="A125" s="4" t="s">
        <v>341</v>
      </c>
      <c r="B125" s="4" t="s">
        <v>342</v>
      </c>
      <c r="C125" s="4" t="s">
        <v>343</v>
      </c>
      <c r="D125" s="4" t="s">
        <v>342</v>
      </c>
      <c r="G125" s="5" t="s">
        <v>263</v>
      </c>
    </row>
    <row r="126" spans="1:7" x14ac:dyDescent="0.2">
      <c r="A126" s="4" t="s">
        <v>341</v>
      </c>
      <c r="B126" s="4" t="s">
        <v>344</v>
      </c>
      <c r="C126" s="4" t="s">
        <v>345</v>
      </c>
      <c r="D126" s="4" t="s">
        <v>344</v>
      </c>
      <c r="E126" s="3">
        <v>2021</v>
      </c>
      <c r="F126" s="5">
        <v>2.57</v>
      </c>
      <c r="G126" s="5">
        <v>2.57</v>
      </c>
    </row>
    <row r="127" spans="1:7" x14ac:dyDescent="0.2">
      <c r="A127" s="4" t="s">
        <v>341</v>
      </c>
      <c r="B127" s="4" t="s">
        <v>21</v>
      </c>
      <c r="C127" s="4" t="s">
        <v>346</v>
      </c>
      <c r="D127" s="4" t="s">
        <v>21</v>
      </c>
      <c r="E127" s="3">
        <v>2021</v>
      </c>
      <c r="F127" s="5">
        <v>2.46</v>
      </c>
      <c r="G127" s="5">
        <v>2.46</v>
      </c>
    </row>
    <row r="128" spans="1:7" x14ac:dyDescent="0.2">
      <c r="A128" s="4" t="s">
        <v>341</v>
      </c>
      <c r="B128" s="4" t="s">
        <v>347</v>
      </c>
      <c r="C128" s="4" t="s">
        <v>348</v>
      </c>
      <c r="D128" s="4" t="s">
        <v>347</v>
      </c>
      <c r="E128" s="3">
        <v>2021</v>
      </c>
      <c r="F128" s="5">
        <v>3.97</v>
      </c>
      <c r="G128" s="5">
        <v>3.97</v>
      </c>
    </row>
    <row r="129" spans="1:7" x14ac:dyDescent="0.2">
      <c r="A129" s="4" t="s">
        <v>341</v>
      </c>
      <c r="B129" s="4" t="s">
        <v>35</v>
      </c>
      <c r="C129" s="4" t="s">
        <v>349</v>
      </c>
      <c r="D129" s="4" t="s">
        <v>35</v>
      </c>
      <c r="E129" s="3">
        <v>2021</v>
      </c>
      <c r="F129" s="5">
        <v>2.5099999999999998</v>
      </c>
      <c r="G129" s="5">
        <v>2.5099999999999998</v>
      </c>
    </row>
    <row r="130" spans="1:7" x14ac:dyDescent="0.2">
      <c r="A130" s="4" t="s">
        <v>341</v>
      </c>
      <c r="B130" s="4" t="s">
        <v>350</v>
      </c>
      <c r="C130" s="4" t="s">
        <v>351</v>
      </c>
      <c r="D130" s="4" t="s">
        <v>350</v>
      </c>
      <c r="E130" s="3">
        <v>2021</v>
      </c>
      <c r="F130" s="5">
        <v>1.72</v>
      </c>
      <c r="G130" s="5">
        <v>1.72</v>
      </c>
    </row>
    <row r="131" spans="1:7" x14ac:dyDescent="0.2">
      <c r="A131" s="4" t="s">
        <v>341</v>
      </c>
      <c r="B131" s="4" t="s">
        <v>352</v>
      </c>
      <c r="C131" s="4" t="s">
        <v>353</v>
      </c>
      <c r="D131" s="4" t="s">
        <v>354</v>
      </c>
      <c r="E131" s="3">
        <v>2021</v>
      </c>
      <c r="F131" s="5">
        <v>2.4</v>
      </c>
      <c r="G131" s="5">
        <v>2.4</v>
      </c>
    </row>
    <row r="132" spans="1:7" x14ac:dyDescent="0.2">
      <c r="A132" s="4" t="s">
        <v>355</v>
      </c>
      <c r="B132" s="4" t="s">
        <v>356</v>
      </c>
      <c r="C132" s="4" t="s">
        <v>357</v>
      </c>
      <c r="D132" s="4" t="s">
        <v>15</v>
      </c>
      <c r="E132" s="3">
        <v>2021</v>
      </c>
      <c r="F132" s="5">
        <v>4.4400000000000004</v>
      </c>
      <c r="G132" s="5">
        <v>4.4400000000000004</v>
      </c>
    </row>
    <row r="133" spans="1:7" x14ac:dyDescent="0.2">
      <c r="A133" s="4" t="s">
        <v>355</v>
      </c>
      <c r="B133" s="4" t="s">
        <v>24</v>
      </c>
      <c r="C133" s="4" t="s">
        <v>34</v>
      </c>
      <c r="D133" s="4" t="s">
        <v>34</v>
      </c>
      <c r="E133" s="3">
        <v>2021</v>
      </c>
      <c r="F133" s="5">
        <v>3.48</v>
      </c>
      <c r="G133" s="5">
        <v>3.48</v>
      </c>
    </row>
    <row r="134" spans="1:7" x14ac:dyDescent="0.2">
      <c r="A134" s="4" t="s">
        <v>355</v>
      </c>
      <c r="B134" s="4" t="s">
        <v>358</v>
      </c>
      <c r="C134" s="4" t="s">
        <v>359</v>
      </c>
      <c r="D134" s="4" t="s">
        <v>359</v>
      </c>
      <c r="G134" s="5" t="s">
        <v>263</v>
      </c>
    </row>
    <row r="135" spans="1:7" x14ac:dyDescent="0.2">
      <c r="A135" s="4" t="s">
        <v>355</v>
      </c>
      <c r="B135" s="4" t="s">
        <v>360</v>
      </c>
      <c r="C135" s="4" t="s">
        <v>361</v>
      </c>
      <c r="D135" s="4" t="s">
        <v>361</v>
      </c>
      <c r="E135" s="3">
        <v>2021</v>
      </c>
      <c r="F135" s="5">
        <v>1.1399999999999999</v>
      </c>
      <c r="G135" s="5">
        <v>1.1399999999999999</v>
      </c>
    </row>
    <row r="136" spans="1:7" x14ac:dyDescent="0.2">
      <c r="A136" s="4" t="s">
        <v>355</v>
      </c>
      <c r="B136" s="4" t="s">
        <v>25</v>
      </c>
      <c r="C136" s="4" t="s">
        <v>362</v>
      </c>
      <c r="D136" s="4" t="s">
        <v>363</v>
      </c>
      <c r="E136" s="3">
        <v>2021</v>
      </c>
      <c r="F136" s="5">
        <v>3.9</v>
      </c>
      <c r="G136" s="5">
        <v>3.9</v>
      </c>
    </row>
    <row r="137" spans="1:7" x14ac:dyDescent="0.2">
      <c r="A137" s="4" t="s">
        <v>355</v>
      </c>
      <c r="B137" s="4" t="s">
        <v>22</v>
      </c>
      <c r="C137" s="4" t="s">
        <v>364</v>
      </c>
      <c r="D137" s="4" t="s">
        <v>365</v>
      </c>
      <c r="E137" s="3">
        <v>2021</v>
      </c>
      <c r="F137" s="5">
        <v>4.82</v>
      </c>
      <c r="G137" s="5">
        <v>4.82</v>
      </c>
    </row>
    <row r="138" spans="1:7" x14ac:dyDescent="0.2">
      <c r="A138" s="4" t="s">
        <v>366</v>
      </c>
      <c r="B138" s="4" t="s">
        <v>367</v>
      </c>
      <c r="C138" s="4" t="s">
        <v>368</v>
      </c>
      <c r="D138" s="4" t="s">
        <v>367</v>
      </c>
      <c r="G138" s="5" t="s">
        <v>263</v>
      </c>
    </row>
    <row r="139" spans="1:7" x14ac:dyDescent="0.2">
      <c r="A139" s="4" t="s">
        <v>366</v>
      </c>
      <c r="B139" s="4" t="s">
        <v>369</v>
      </c>
      <c r="C139" s="4" t="s">
        <v>370</v>
      </c>
      <c r="D139" s="4" t="s">
        <v>369</v>
      </c>
      <c r="G139" s="5" t="s">
        <v>263</v>
      </c>
    </row>
    <row r="140" spans="1:7" x14ac:dyDescent="0.2">
      <c r="A140" s="4" t="s">
        <v>366</v>
      </c>
      <c r="B140" s="4" t="s">
        <v>371</v>
      </c>
      <c r="C140" s="4"/>
      <c r="D140" s="4" t="s">
        <v>371</v>
      </c>
      <c r="E140" s="3">
        <v>2018</v>
      </c>
      <c r="F140" s="5">
        <v>0.68</v>
      </c>
      <c r="G140" s="5">
        <f>(313.001/282.565)*F140</f>
        <v>0.75324502326898235</v>
      </c>
    </row>
    <row r="141" spans="1:7" x14ac:dyDescent="0.2">
      <c r="A141" s="4" t="s">
        <v>366</v>
      </c>
      <c r="B141" s="4" t="s">
        <v>372</v>
      </c>
      <c r="C141" s="4" t="s">
        <v>373</v>
      </c>
      <c r="D141" s="4" t="s">
        <v>372</v>
      </c>
      <c r="E141" s="3">
        <v>2017</v>
      </c>
      <c r="F141" s="5">
        <v>0.52</v>
      </c>
      <c r="G141" s="5">
        <f>(313.001/278.202)*F141</f>
        <v>0.58504439220422566</v>
      </c>
    </row>
    <row r="142" spans="1:7" x14ac:dyDescent="0.2">
      <c r="A142" s="4" t="s">
        <v>366</v>
      </c>
      <c r="B142" s="4" t="s">
        <v>374</v>
      </c>
      <c r="C142" s="4" t="s">
        <v>375</v>
      </c>
      <c r="D142" s="4" t="s">
        <v>374</v>
      </c>
      <c r="G142" s="5" t="s">
        <v>263</v>
      </c>
    </row>
    <row r="143" spans="1:7" x14ac:dyDescent="0.2">
      <c r="A143" s="4" t="s">
        <v>366</v>
      </c>
      <c r="B143" s="4" t="s">
        <v>376</v>
      </c>
      <c r="C143" s="4"/>
      <c r="D143" s="4" t="s">
        <v>376</v>
      </c>
      <c r="G143" s="5" t="s">
        <v>263</v>
      </c>
    </row>
    <row r="144" spans="1:7" x14ac:dyDescent="0.2">
      <c r="A144" s="4" t="s">
        <v>366</v>
      </c>
      <c r="B144" s="4" t="s">
        <v>377</v>
      </c>
      <c r="C144" s="4" t="s">
        <v>378</v>
      </c>
      <c r="D144" s="4" t="s">
        <v>382</v>
      </c>
      <c r="G144" s="5" t="s">
        <v>263</v>
      </c>
    </row>
    <row r="145" spans="1:7" x14ac:dyDescent="0.2">
      <c r="A145" s="4" t="s">
        <v>366</v>
      </c>
      <c r="B145" s="4" t="s">
        <v>379</v>
      </c>
      <c r="C145" s="4" t="s">
        <v>380</v>
      </c>
      <c r="D145" s="4" t="s">
        <v>379</v>
      </c>
      <c r="G145" s="5" t="s">
        <v>263</v>
      </c>
    </row>
    <row r="146" spans="1:7" x14ac:dyDescent="0.2">
      <c r="A146" s="4" t="s">
        <v>366</v>
      </c>
      <c r="B146" s="4" t="s">
        <v>381</v>
      </c>
      <c r="C146" s="4"/>
      <c r="D146" s="4" t="s">
        <v>381</v>
      </c>
      <c r="G146" s="5" t="s">
        <v>263</v>
      </c>
    </row>
    <row r="147" spans="1:7" x14ac:dyDescent="0.2">
      <c r="A147" s="4" t="s">
        <v>366</v>
      </c>
      <c r="B147" s="4" t="s">
        <v>383</v>
      </c>
      <c r="C147" s="4"/>
      <c r="D147" s="4" t="s">
        <v>383</v>
      </c>
      <c r="G147" s="5" t="s">
        <v>263</v>
      </c>
    </row>
    <row r="148" spans="1:7" x14ac:dyDescent="0.2">
      <c r="A148" s="4" t="s">
        <v>366</v>
      </c>
      <c r="B148" s="4" t="s">
        <v>384</v>
      </c>
      <c r="C148" s="4"/>
      <c r="D148" s="4" t="s">
        <v>384</v>
      </c>
      <c r="G148" s="5" t="s">
        <v>263</v>
      </c>
    </row>
    <row r="149" spans="1:7" x14ac:dyDescent="0.2">
      <c r="A149" s="4" t="s">
        <v>366</v>
      </c>
      <c r="B149" s="4" t="s">
        <v>385</v>
      </c>
      <c r="C149" s="4"/>
      <c r="D149" s="4" t="s">
        <v>385</v>
      </c>
      <c r="G149" s="5" t="s">
        <v>263</v>
      </c>
    </row>
    <row r="150" spans="1:7" x14ac:dyDescent="0.2">
      <c r="A150" s="4" t="s">
        <v>366</v>
      </c>
      <c r="B150" s="4" t="s">
        <v>386</v>
      </c>
      <c r="C150" s="4" t="s">
        <v>387</v>
      </c>
      <c r="D150" s="4" t="s">
        <v>386</v>
      </c>
      <c r="G150" s="5" t="s">
        <v>263</v>
      </c>
    </row>
    <row r="151" spans="1:7" x14ac:dyDescent="0.2">
      <c r="A151" s="4" t="s">
        <v>366</v>
      </c>
      <c r="B151" s="4" t="s">
        <v>388</v>
      </c>
      <c r="C151" s="4" t="s">
        <v>389</v>
      </c>
      <c r="D151" s="4" t="s">
        <v>390</v>
      </c>
      <c r="G151" s="5" t="s">
        <v>263</v>
      </c>
    </row>
    <row r="152" spans="1:7" x14ac:dyDescent="0.2">
      <c r="A152" s="4" t="s">
        <v>366</v>
      </c>
      <c r="B152" s="4" t="s">
        <v>391</v>
      </c>
      <c r="C152" s="4"/>
      <c r="D152" s="4" t="s">
        <v>391</v>
      </c>
      <c r="G152" s="5" t="s">
        <v>263</v>
      </c>
    </row>
    <row r="153" spans="1:7" x14ac:dyDescent="0.2">
      <c r="A153" s="4" t="s">
        <v>366</v>
      </c>
      <c r="B153" s="4" t="s">
        <v>392</v>
      </c>
      <c r="C153" s="4"/>
      <c r="D153" s="4" t="s">
        <v>392</v>
      </c>
      <c r="G153" s="5" t="s">
        <v>263</v>
      </c>
    </row>
    <row r="154" spans="1:7" x14ac:dyDescent="0.2">
      <c r="A154" s="4" t="s">
        <v>393</v>
      </c>
      <c r="B154" s="4" t="s">
        <v>394</v>
      </c>
      <c r="C154" s="4" t="s">
        <v>395</v>
      </c>
      <c r="D154" s="4" t="s">
        <v>394</v>
      </c>
      <c r="E154" s="4"/>
      <c r="G154" s="6">
        <v>2.1755225951447725</v>
      </c>
    </row>
    <row r="155" spans="1:7" x14ac:dyDescent="0.2">
      <c r="A155" s="4" t="s">
        <v>393</v>
      </c>
      <c r="B155" s="4" t="s">
        <v>396</v>
      </c>
      <c r="C155" s="4" t="s">
        <v>397</v>
      </c>
      <c r="D155" s="4" t="s">
        <v>398</v>
      </c>
      <c r="E155" s="4"/>
      <c r="G155" s="3">
        <v>1.98</v>
      </c>
    </row>
    <row r="156" spans="1:7" x14ac:dyDescent="0.2">
      <c r="A156" s="4" t="s">
        <v>393</v>
      </c>
      <c r="B156" s="4" t="s">
        <v>399</v>
      </c>
      <c r="C156" s="4" t="s">
        <v>400</v>
      </c>
      <c r="D156" s="4" t="s">
        <v>399</v>
      </c>
      <c r="E156" s="4"/>
      <c r="G156" s="3">
        <v>4.0999999999999996</v>
      </c>
    </row>
    <row r="157" spans="1:7" x14ac:dyDescent="0.2">
      <c r="A157" s="4" t="s">
        <v>393</v>
      </c>
      <c r="B157" s="4" t="s">
        <v>27</v>
      </c>
      <c r="C157" s="4" t="s">
        <v>401</v>
      </c>
      <c r="D157" s="4" t="s">
        <v>402</v>
      </c>
      <c r="E157" s="4"/>
      <c r="G157" s="6"/>
    </row>
    <row r="158" spans="1:7" x14ac:dyDescent="0.2">
      <c r="A158" s="4" t="s">
        <v>393</v>
      </c>
      <c r="B158" s="4" t="s">
        <v>403</v>
      </c>
      <c r="C158" s="4"/>
      <c r="D158" s="4" t="s">
        <v>403</v>
      </c>
      <c r="E158" s="4"/>
      <c r="G158" s="6">
        <v>5.26</v>
      </c>
    </row>
    <row r="159" spans="1:7" x14ac:dyDescent="0.2">
      <c r="A159" s="4" t="s">
        <v>393</v>
      </c>
      <c r="B159" s="4" t="s">
        <v>404</v>
      </c>
      <c r="C159" s="4" t="s">
        <v>405</v>
      </c>
      <c r="D159" s="4" t="s">
        <v>404</v>
      </c>
      <c r="E159" s="4"/>
      <c r="G159" s="3">
        <v>4.99</v>
      </c>
    </row>
    <row r="160" spans="1:7" x14ac:dyDescent="0.2">
      <c r="A160" s="4" t="s">
        <v>393</v>
      </c>
      <c r="B160" s="4" t="s">
        <v>406</v>
      </c>
      <c r="C160" s="4" t="s">
        <v>407</v>
      </c>
      <c r="D160" s="4" t="s">
        <v>29</v>
      </c>
      <c r="E160" s="4"/>
      <c r="G160" s="5" t="s">
        <v>263</v>
      </c>
    </row>
    <row r="161" spans="1:7" x14ac:dyDescent="0.2">
      <c r="A161" s="4" t="s">
        <v>393</v>
      </c>
      <c r="B161" s="4" t="s">
        <v>408</v>
      </c>
      <c r="C161" s="4" t="s">
        <v>409</v>
      </c>
      <c r="D161" s="4" t="s">
        <v>410</v>
      </c>
      <c r="E161" s="4"/>
      <c r="G161" s="5" t="s">
        <v>263</v>
      </c>
    </row>
    <row r="162" spans="1:7" x14ac:dyDescent="0.2">
      <c r="A162" s="4" t="s">
        <v>393</v>
      </c>
      <c r="B162" s="4" t="s">
        <v>411</v>
      </c>
      <c r="C162" s="4" t="s">
        <v>412</v>
      </c>
      <c r="D162" s="4" t="s">
        <v>413</v>
      </c>
      <c r="E162" s="4"/>
      <c r="G162" s="5" t="s">
        <v>263</v>
      </c>
    </row>
    <row r="165" spans="1:7" x14ac:dyDescent="0.2">
      <c r="E16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 species grouping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Elanur Ural</dc:creator>
  <cp:lastModifiedBy>Elanur Ural</cp:lastModifiedBy>
  <dcterms:created xsi:type="dcterms:W3CDTF">2023-03-08T07:49:25Z</dcterms:created>
  <dcterms:modified xsi:type="dcterms:W3CDTF">2026-03-28T09:18:48Z</dcterms:modified>
</cp:coreProperties>
</file>
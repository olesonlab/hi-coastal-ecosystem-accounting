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anurural/Desktop/repros.v2/"/>
    </mc:Choice>
  </mc:AlternateContent>
  <xr:revisionPtr revIDLastSave="0" documentId="13_ncr:1_{B06A4C3C-7EFD-B14B-94C2-E91C9B704DB3}" xr6:coauthVersionLast="47" xr6:coauthVersionMax="47" xr10:uidLastSave="{00000000-0000-0000-0000-000000000000}"/>
  <bookViews>
    <workbookView xWindow="10620" yWindow="660" windowWidth="27780" windowHeight="19060" xr2:uid="{6543227B-2EDA-964A-B186-DEA295D6329B}"/>
  </bookViews>
  <sheets>
    <sheet name="Comm Landings" sheetId="2" r:id="rId1"/>
    <sheet name="Non-comm Landings" sheetId="1" r:id="rId2"/>
    <sheet name="MWP" sheetId="3" r:id="rId3"/>
    <sheet name="Labor costs per lb" sheetId="4" r:id="rId4"/>
    <sheet name="Non-labor costs per lb" sheetId="5" r:id="rId5"/>
    <sheet name="SBF allocations" sheetId="6" r:id="rId6"/>
    <sheet name="DAR area codes" sheetId="7" r:id="rId7"/>
    <sheet name="CPI Fred" sheetId="8" r:id="rId8"/>
  </sheets>
  <externalReferences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F11" i="4"/>
  <c r="E11" i="4"/>
  <c r="D11" i="4"/>
  <c r="C11" i="4"/>
  <c r="B11" i="4"/>
  <c r="F10" i="4"/>
  <c r="E10" i="4"/>
  <c r="D10" i="4"/>
  <c r="C10" i="4"/>
  <c r="B10" i="4"/>
  <c r="F9" i="4"/>
  <c r="E9" i="4"/>
  <c r="D9" i="4"/>
  <c r="C9" i="4"/>
  <c r="B9" i="4"/>
  <c r="F8" i="4"/>
  <c r="E8" i="4"/>
  <c r="D8" i="4"/>
  <c r="C8" i="4"/>
  <c r="B8" i="4"/>
  <c r="F7" i="4"/>
  <c r="E7" i="4"/>
  <c r="D7" i="4"/>
  <c r="C7" i="4"/>
  <c r="B7" i="4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<sst xmlns="http://schemas.openxmlformats.org/spreadsheetml/2006/main" count="1930" uniqueCount="36">
  <si>
    <t>year</t>
  </si>
  <si>
    <t>area</t>
  </si>
  <si>
    <t>county</t>
  </si>
  <si>
    <t>landings.deep7</t>
  </si>
  <si>
    <t>landings.sbf</t>
  </si>
  <si>
    <t>landings.reef</t>
  </si>
  <si>
    <t>landings.pelagic</t>
  </si>
  <si>
    <t>island</t>
  </si>
  <si>
    <t>island.weight</t>
  </si>
  <si>
    <t>lbs.total</t>
  </si>
  <si>
    <t>kg.total</t>
  </si>
  <si>
    <t>reef.price</t>
  </si>
  <si>
    <t>hawaii</t>
  </si>
  <si>
    <t>kauai</t>
  </si>
  <si>
    <t>lanai</t>
  </si>
  <si>
    <t>maui</t>
  </si>
  <si>
    <t>molokai</t>
  </si>
  <si>
    <t>oahu</t>
  </si>
  <si>
    <t>mwp</t>
  </si>
  <si>
    <t>deep7</t>
  </si>
  <si>
    <t>sbf</t>
  </si>
  <si>
    <t>reef</t>
  </si>
  <si>
    <t>pelagic</t>
  </si>
  <si>
    <t>sbf.ratio.REEFET</t>
  </si>
  <si>
    <t>sbf.ratio.NONREEFET</t>
  </si>
  <si>
    <t/>
  </si>
  <si>
    <t>CPI</t>
  </si>
  <si>
    <t>lbs.total.pasted</t>
  </si>
  <si>
    <t>Kauai</t>
  </si>
  <si>
    <t>Oahu</t>
  </si>
  <si>
    <t>Molokai</t>
  </si>
  <si>
    <t>Maui</t>
  </si>
  <si>
    <t>Hawaii</t>
  </si>
  <si>
    <t>Ref'd:</t>
  </si>
  <si>
    <t>Pasted vals:</t>
  </si>
  <si>
    <t>costs.other ($/lb)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</si>
</sst>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\-d"/>
    <numFmt numFmtId="165" formatCode="0.000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43" fontId="2" fillId="0" borderId="0" xfId="1" applyFont="1" applyFill="1" applyAlignment="1">
      <alignment horizontal="center"/>
    </xf>
    <xf numFmtId="0" fontId="3" fillId="0" borderId="0" xfId="0" applyFont="1"/>
    <xf numFmtId="43" fontId="3" fillId="0" borderId="0" xfId="1" applyFont="1" applyFill="1"/>
    <xf numFmtId="43" fontId="4" fillId="0" borderId="0" xfId="0" applyNumberFormat="1" applyFont="1" applyAlignment="1">
      <alignment horizontal="center"/>
    </xf>
    <xf numFmtId="43" fontId="5" fillId="0" borderId="0" xfId="0" applyNumberFormat="1" applyFont="1"/>
    <xf numFmtId="0" fontId="2" fillId="0" borderId="0" xfId="0" applyFont="1"/>
    <xf numFmtId="43" fontId="0" fillId="0" borderId="0" xfId="0" applyNumberFormat="1"/>
    <xf numFmtId="44" fontId="0" fillId="0" borderId="0" xfId="2" applyFont="1" applyFill="1"/>
    <xf numFmtId="0" fontId="6" fillId="0" borderId="0" xfId="0" applyFont="1"/>
    <xf numFmtId="44" fontId="2" fillId="0" borderId="0" xfId="2" applyFont="1"/>
    <xf numFmtId="44" fontId="0" fillId="0" borderId="0" xfId="2" applyFont="1"/>
    <xf numFmtId="44" fontId="0" fillId="0" borderId="0" xfId="0" applyNumberForma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9" fillId="0" borderId="0" xfId="3" applyNumberFormat="1" applyAlignment="1">
      <alignment horizontal="center"/>
    </xf>
    <xf numFmtId="165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Normal 2" xfId="3" xr:uid="{CB7FD6DC-F2EC-FC4C-861D-A7AEC5C8C7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v.master.finale.xlsx" TargetMode="External"/><Relationship Id="rId2" Type="http://schemas.openxmlformats.org/officeDocument/2006/relationships/externalLinkPath" Target="/Users/elanurural/Desktop/ev.master.finale.xlsx" TargetMode="External"/><Relationship Id="rId1" Type="http://schemas.openxmlformats.org/officeDocument/2006/relationships/externalLinkPath" Target="/Users/elanurural/Desktop/ev.master.finale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cuments/Coastal%20Accounting/Est's%20to%20AC%205.25/noncomm.EV2005-22.xlsx" TargetMode="External"/><Relationship Id="rId2" Type="http://schemas.openxmlformats.org/officeDocument/2006/relationships/externalLinkPath" Target="/Users/elanurural/Documents/Coastal%20Accounting/Est's%20to%20AC%205.25/noncomm.EV2005-22.xlsx" TargetMode="External"/><Relationship Id="rId1" Type="http://schemas.openxmlformats.org/officeDocument/2006/relationships/externalLinkPath" Target="/Users/elanurural/Documents/Coastal%20Accounting/Est's%20to%20AC%205.25/noncomm.EV2005-22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cuments/Coastal%20Accounting/Cost%20Work/2021HawaiiSmallBoatData_Cleaned345_032923.xlsx" TargetMode="External"/><Relationship Id="rId2" Type="http://schemas.openxmlformats.org/officeDocument/2006/relationships/externalLinkPath" Target="/Users/elanurural/Documents/Coastal%20Accounting/Cost%20Work/2021HawaiiSmallBoatData_Cleaned345_032923.xlsx" TargetMode="External"/><Relationship Id="rId1" Type="http://schemas.openxmlformats.org/officeDocument/2006/relationships/externalLinkPath" Target="/Users/elanurural/Documents/Coastal%20Accounting/Cost%20Work/2021HawaiiSmallBoatData_Cleaned345_0329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m EV"/>
      <sheetName val="Non-comm EV"/>
      <sheetName val="WMP"/>
      <sheetName val="Labor costs per lb"/>
      <sheetName val="Non-labor costs per lb"/>
      <sheetName val="SBF allocations"/>
      <sheetName val="DAR area codes"/>
      <sheetName val="CPI Fred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area</v>
          </cell>
          <cell r="B1" t="str">
            <v>county</v>
          </cell>
        </row>
        <row r="2">
          <cell r="A2">
            <v>100</v>
          </cell>
          <cell r="B2" t="str">
            <v>hawaii</v>
          </cell>
        </row>
        <row r="3">
          <cell r="A3">
            <v>101</v>
          </cell>
          <cell r="B3" t="str">
            <v>hawaii</v>
          </cell>
        </row>
        <row r="4">
          <cell r="A4">
            <v>102</v>
          </cell>
          <cell r="B4" t="str">
            <v>hawaii</v>
          </cell>
        </row>
        <row r="5">
          <cell r="A5">
            <v>103</v>
          </cell>
          <cell r="B5" t="str">
            <v>hawaii</v>
          </cell>
        </row>
        <row r="6">
          <cell r="A6">
            <v>104</v>
          </cell>
          <cell r="B6" t="str">
            <v>hawaii</v>
          </cell>
        </row>
        <row r="7">
          <cell r="A7">
            <v>105</v>
          </cell>
          <cell r="B7" t="str">
            <v>hawaii</v>
          </cell>
        </row>
        <row r="8">
          <cell r="A8">
            <v>106</v>
          </cell>
          <cell r="B8" t="str">
            <v>hawaii</v>
          </cell>
        </row>
        <row r="9">
          <cell r="A9">
            <v>107</v>
          </cell>
          <cell r="B9" t="str">
            <v>hawaii</v>
          </cell>
        </row>
        <row r="10">
          <cell r="A10">
            <v>108</v>
          </cell>
          <cell r="B10" t="str">
            <v>hawaii</v>
          </cell>
        </row>
        <row r="11">
          <cell r="A11">
            <v>120</v>
          </cell>
          <cell r="B11" t="str">
            <v>hawaii</v>
          </cell>
        </row>
        <row r="12">
          <cell r="A12">
            <v>121</v>
          </cell>
          <cell r="B12" t="str">
            <v>hawaii</v>
          </cell>
        </row>
        <row r="13">
          <cell r="A13">
            <v>122</v>
          </cell>
          <cell r="B13" t="str">
            <v>hawaii</v>
          </cell>
        </row>
        <row r="14">
          <cell r="A14">
            <v>123</v>
          </cell>
          <cell r="B14" t="str">
            <v>hawaii</v>
          </cell>
        </row>
        <row r="15">
          <cell r="A15">
            <v>124</v>
          </cell>
          <cell r="B15" t="str">
            <v>hawaii</v>
          </cell>
        </row>
        <row r="16">
          <cell r="A16">
            <v>125</v>
          </cell>
          <cell r="B16" t="str">
            <v>hawaii</v>
          </cell>
        </row>
        <row r="17">
          <cell r="A17">
            <v>126</v>
          </cell>
          <cell r="B17" t="str">
            <v>hawaii</v>
          </cell>
        </row>
        <row r="18">
          <cell r="A18">
            <v>127</v>
          </cell>
          <cell r="B18" t="str">
            <v>hawaii</v>
          </cell>
        </row>
        <row r="19">
          <cell r="A19">
            <v>128</v>
          </cell>
          <cell r="B19" t="str">
            <v>hawaii</v>
          </cell>
        </row>
        <row r="20">
          <cell r="A20">
            <v>300</v>
          </cell>
          <cell r="B20" t="str">
            <v>maui</v>
          </cell>
        </row>
        <row r="21">
          <cell r="A21">
            <v>301</v>
          </cell>
          <cell r="B21" t="str">
            <v>maui</v>
          </cell>
        </row>
        <row r="22">
          <cell r="A22">
            <v>302</v>
          </cell>
          <cell r="B22" t="str">
            <v>maui</v>
          </cell>
        </row>
        <row r="23">
          <cell r="A23">
            <v>303</v>
          </cell>
          <cell r="B23" t="str">
            <v>maui</v>
          </cell>
        </row>
        <row r="24">
          <cell r="A24">
            <v>304</v>
          </cell>
          <cell r="B24" t="str">
            <v>maui</v>
          </cell>
        </row>
        <row r="25">
          <cell r="A25">
            <v>305</v>
          </cell>
          <cell r="B25" t="str">
            <v>maui</v>
          </cell>
        </row>
        <row r="26">
          <cell r="A26">
            <v>306</v>
          </cell>
          <cell r="B26" t="str">
            <v>maui</v>
          </cell>
        </row>
        <row r="27">
          <cell r="A27">
            <v>307</v>
          </cell>
          <cell r="B27" t="str">
            <v>maui</v>
          </cell>
        </row>
        <row r="28">
          <cell r="A28">
            <v>308</v>
          </cell>
          <cell r="B28" t="str">
            <v>maui</v>
          </cell>
        </row>
        <row r="29">
          <cell r="A29">
            <v>309</v>
          </cell>
          <cell r="B29" t="str">
            <v>maui</v>
          </cell>
        </row>
        <row r="30">
          <cell r="A30">
            <v>310</v>
          </cell>
          <cell r="B30" t="str">
            <v>maui</v>
          </cell>
        </row>
        <row r="31">
          <cell r="A31">
            <v>311</v>
          </cell>
          <cell r="B31" t="str">
            <v>maui</v>
          </cell>
        </row>
        <row r="32">
          <cell r="A32">
            <v>312</v>
          </cell>
          <cell r="B32" t="str">
            <v>maui</v>
          </cell>
        </row>
        <row r="33">
          <cell r="A33">
            <v>313</v>
          </cell>
          <cell r="B33" t="str">
            <v>maui</v>
          </cell>
        </row>
        <row r="34">
          <cell r="A34">
            <v>314</v>
          </cell>
          <cell r="B34" t="str">
            <v>maui</v>
          </cell>
        </row>
        <row r="35">
          <cell r="A35">
            <v>320</v>
          </cell>
          <cell r="B35" t="str">
            <v>maui</v>
          </cell>
        </row>
        <row r="36">
          <cell r="A36">
            <v>321</v>
          </cell>
          <cell r="B36" t="str">
            <v>maui</v>
          </cell>
        </row>
        <row r="37">
          <cell r="A37">
            <v>322</v>
          </cell>
          <cell r="B37" t="str">
            <v>maui</v>
          </cell>
        </row>
        <row r="38">
          <cell r="A38">
            <v>323</v>
          </cell>
          <cell r="B38" t="str">
            <v>maui</v>
          </cell>
        </row>
        <row r="39">
          <cell r="A39">
            <v>324</v>
          </cell>
          <cell r="B39" t="str">
            <v>maui</v>
          </cell>
        </row>
        <row r="40">
          <cell r="A40">
            <v>325</v>
          </cell>
          <cell r="B40" t="str">
            <v>maui</v>
          </cell>
        </row>
        <row r="41">
          <cell r="A41">
            <v>326</v>
          </cell>
          <cell r="B41" t="str">
            <v>maui</v>
          </cell>
        </row>
        <row r="42">
          <cell r="A42">
            <v>327</v>
          </cell>
          <cell r="B42" t="str">
            <v>maui</v>
          </cell>
        </row>
        <row r="43">
          <cell r="A43">
            <v>328</v>
          </cell>
          <cell r="B43" t="str">
            <v>maui</v>
          </cell>
        </row>
        <row r="44">
          <cell r="A44">
            <v>331</v>
          </cell>
          <cell r="B44" t="str">
            <v>maui</v>
          </cell>
        </row>
        <row r="45">
          <cell r="A45">
            <v>332</v>
          </cell>
          <cell r="B45" t="str">
            <v>maui</v>
          </cell>
        </row>
        <row r="46">
          <cell r="A46">
            <v>333</v>
          </cell>
          <cell r="B46" t="str">
            <v>maui</v>
          </cell>
        </row>
        <row r="47">
          <cell r="A47">
            <v>400</v>
          </cell>
          <cell r="B47" t="str">
            <v>oahu</v>
          </cell>
        </row>
        <row r="48">
          <cell r="A48">
            <v>401</v>
          </cell>
          <cell r="B48" t="str">
            <v>oahu</v>
          </cell>
        </row>
        <row r="49">
          <cell r="A49">
            <v>402</v>
          </cell>
          <cell r="B49" t="str">
            <v>oahu</v>
          </cell>
        </row>
        <row r="50">
          <cell r="A50">
            <v>403</v>
          </cell>
          <cell r="B50" t="str">
            <v>oahu</v>
          </cell>
        </row>
        <row r="51">
          <cell r="A51">
            <v>404</v>
          </cell>
          <cell r="B51" t="str">
            <v>oahu</v>
          </cell>
        </row>
        <row r="52">
          <cell r="A52">
            <v>405</v>
          </cell>
          <cell r="B52" t="str">
            <v>oahu</v>
          </cell>
        </row>
        <row r="53">
          <cell r="A53">
            <v>406</v>
          </cell>
          <cell r="B53" t="str">
            <v>oahu</v>
          </cell>
        </row>
        <row r="54">
          <cell r="A54">
            <v>407</v>
          </cell>
          <cell r="B54" t="str">
            <v>oahu</v>
          </cell>
        </row>
        <row r="55">
          <cell r="A55">
            <v>408</v>
          </cell>
          <cell r="B55" t="str">
            <v>oahu</v>
          </cell>
        </row>
        <row r="56">
          <cell r="A56">
            <v>409</v>
          </cell>
          <cell r="B56" t="str">
            <v>oahu</v>
          </cell>
        </row>
        <row r="57">
          <cell r="A57">
            <v>420</v>
          </cell>
          <cell r="B57" t="str">
            <v>oahu</v>
          </cell>
        </row>
        <row r="58">
          <cell r="A58">
            <v>421</v>
          </cell>
          <cell r="B58" t="str">
            <v>oahu</v>
          </cell>
        </row>
        <row r="59">
          <cell r="A59">
            <v>422</v>
          </cell>
          <cell r="B59" t="str">
            <v>oahu</v>
          </cell>
        </row>
        <row r="60">
          <cell r="A60">
            <v>423</v>
          </cell>
          <cell r="B60" t="str">
            <v>oahu</v>
          </cell>
        </row>
        <row r="61">
          <cell r="A61">
            <v>424</v>
          </cell>
          <cell r="B61" t="str">
            <v>oahu</v>
          </cell>
        </row>
        <row r="62">
          <cell r="A62">
            <v>425</v>
          </cell>
          <cell r="B62" t="str">
            <v>oahu</v>
          </cell>
        </row>
        <row r="63">
          <cell r="A63">
            <v>426</v>
          </cell>
          <cell r="B63" t="str">
            <v>oahu</v>
          </cell>
        </row>
        <row r="64">
          <cell r="A64">
            <v>427</v>
          </cell>
          <cell r="B64" t="str">
            <v>oahu</v>
          </cell>
        </row>
        <row r="65">
          <cell r="A65">
            <v>428</v>
          </cell>
          <cell r="B65" t="str">
            <v>oahu</v>
          </cell>
        </row>
        <row r="66">
          <cell r="A66">
            <v>429</v>
          </cell>
          <cell r="B66" t="str">
            <v>oahu</v>
          </cell>
        </row>
        <row r="67">
          <cell r="A67">
            <v>500</v>
          </cell>
          <cell r="B67" t="str">
            <v>kauai</v>
          </cell>
        </row>
        <row r="68">
          <cell r="A68">
            <v>501</v>
          </cell>
          <cell r="B68" t="str">
            <v>kauai</v>
          </cell>
        </row>
        <row r="69">
          <cell r="A69">
            <v>502</v>
          </cell>
          <cell r="B69" t="str">
            <v>kauai</v>
          </cell>
        </row>
        <row r="70">
          <cell r="A70">
            <v>503</v>
          </cell>
          <cell r="B70" t="str">
            <v>kauai</v>
          </cell>
        </row>
        <row r="71">
          <cell r="A71">
            <v>504</v>
          </cell>
          <cell r="B71" t="str">
            <v>kauai</v>
          </cell>
        </row>
        <row r="72">
          <cell r="A72">
            <v>505</v>
          </cell>
          <cell r="B72" t="str">
            <v>kauai</v>
          </cell>
        </row>
        <row r="73">
          <cell r="A73">
            <v>506</v>
          </cell>
          <cell r="B73" t="str">
            <v>kauai</v>
          </cell>
        </row>
        <row r="74">
          <cell r="A74">
            <v>507</v>
          </cell>
          <cell r="B74" t="str">
            <v>kauai</v>
          </cell>
        </row>
        <row r="75">
          <cell r="A75">
            <v>508</v>
          </cell>
          <cell r="B75" t="str">
            <v>kauai</v>
          </cell>
        </row>
        <row r="76">
          <cell r="A76">
            <v>520</v>
          </cell>
          <cell r="B76" t="str">
            <v>kauai</v>
          </cell>
        </row>
        <row r="77">
          <cell r="A77">
            <v>521</v>
          </cell>
          <cell r="B77" t="str">
            <v>kauai</v>
          </cell>
        </row>
        <row r="78">
          <cell r="A78">
            <v>522</v>
          </cell>
          <cell r="B78" t="str">
            <v>kauai</v>
          </cell>
        </row>
        <row r="79">
          <cell r="A79">
            <v>523</v>
          </cell>
          <cell r="B79" t="str">
            <v>kauai</v>
          </cell>
        </row>
        <row r="80">
          <cell r="A80">
            <v>524</v>
          </cell>
          <cell r="B80" t="str">
            <v>kauai</v>
          </cell>
        </row>
        <row r="81">
          <cell r="A81">
            <v>525</v>
          </cell>
          <cell r="B81" t="str">
            <v>kauai</v>
          </cell>
        </row>
        <row r="82">
          <cell r="A82">
            <v>526</v>
          </cell>
          <cell r="B82" t="str">
            <v>kauai</v>
          </cell>
        </row>
        <row r="83">
          <cell r="A83">
            <v>527</v>
          </cell>
          <cell r="B83" t="str">
            <v>kauai</v>
          </cell>
        </row>
        <row r="84">
          <cell r="A84">
            <v>528</v>
          </cell>
          <cell r="B84" t="str">
            <v>kauai</v>
          </cell>
        </row>
      </sheetData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bs by island"/>
      <sheetName val="Total lbs"/>
      <sheetName val="Island code key"/>
    </sheetNames>
    <sheetDataSet>
      <sheetData sheetId="0"/>
      <sheetData sheetId="1">
        <row r="2">
          <cell r="B2">
            <v>169641.08740442601</v>
          </cell>
        </row>
        <row r="3">
          <cell r="B3">
            <v>283314.46523749799</v>
          </cell>
        </row>
        <row r="4">
          <cell r="B4">
            <v>241451.05701660001</v>
          </cell>
        </row>
        <row r="5">
          <cell r="B5">
            <v>225255.890595929</v>
          </cell>
        </row>
        <row r="6">
          <cell r="B6">
            <v>168430.14520859401</v>
          </cell>
        </row>
        <row r="7">
          <cell r="B7">
            <v>260492.91587541401</v>
          </cell>
        </row>
        <row r="8">
          <cell r="B8">
            <v>139065.20265488399</v>
          </cell>
        </row>
        <row r="9">
          <cell r="B9">
            <v>214786.498291722</v>
          </cell>
        </row>
        <row r="10">
          <cell r="B10">
            <v>234129.030571396</v>
          </cell>
        </row>
        <row r="11">
          <cell r="B11">
            <v>229987.406178078</v>
          </cell>
        </row>
        <row r="12">
          <cell r="B12">
            <v>177036.38032653401</v>
          </cell>
        </row>
        <row r="13">
          <cell r="B13">
            <v>156372.55750222199</v>
          </cell>
        </row>
        <row r="14">
          <cell r="B14">
            <v>123399.154976719</v>
          </cell>
        </row>
        <row r="15">
          <cell r="B15">
            <v>249701.053699068</v>
          </cell>
        </row>
        <row r="16">
          <cell r="B16">
            <v>205288.91416030101</v>
          </cell>
        </row>
        <row r="17">
          <cell r="B17">
            <v>203899.33920118201</v>
          </cell>
        </row>
        <row r="18">
          <cell r="B18">
            <v>301344.68834506499</v>
          </cell>
        </row>
        <row r="19">
          <cell r="B19">
            <v>145076.88155525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1HawaiiSmallBoatData_Cleaned"/>
      <sheetName val="Cost calcs"/>
    </sheetNames>
    <sheetDataSet>
      <sheetData sheetId="0"/>
      <sheetData sheetId="1">
        <row r="33">
          <cell r="JP33" t="str">
            <v>Kauai</v>
          </cell>
          <cell r="JQ33" t="str">
            <v>Oahu</v>
          </cell>
          <cell r="JR33" t="str">
            <v>Molokai</v>
          </cell>
          <cell r="JS33" t="str">
            <v>Maui</v>
          </cell>
          <cell r="JT33" t="str">
            <v>Hawaii</v>
          </cell>
        </row>
        <row r="34">
          <cell r="JP34">
            <v>0.52764424655998388</v>
          </cell>
          <cell r="JQ34">
            <v>1.1672823232932608</v>
          </cell>
          <cell r="JR34">
            <v>0.68819790603384356</v>
          </cell>
          <cell r="JS34">
            <v>0.68819790603384356</v>
          </cell>
          <cell r="JT34">
            <v>0.77289948682243326</v>
          </cell>
        </row>
        <row r="35">
          <cell r="JP35">
            <v>0.17645164838484609</v>
          </cell>
          <cell r="JQ35">
            <v>0.21785276536038889</v>
          </cell>
          <cell r="JR35">
            <v>0.15579156116400769</v>
          </cell>
          <cell r="JS35">
            <v>0.15579156116400769</v>
          </cell>
          <cell r="JT35">
            <v>0.13532267886887681</v>
          </cell>
        </row>
        <row r="36">
          <cell r="JP36">
            <v>6.556440727272296E-2</v>
          </cell>
          <cell r="JQ36">
            <v>8.7151925612264439E-2</v>
          </cell>
          <cell r="JR36">
            <v>0.22319309390284495</v>
          </cell>
          <cell r="JS36">
            <v>0.22319309390284495</v>
          </cell>
          <cell r="JT36">
            <v>9.2188580865474018E-2</v>
          </cell>
        </row>
        <row r="37">
          <cell r="JP37">
            <v>0.10710803985946092</v>
          </cell>
          <cell r="JQ37">
            <v>0.20540925607257052</v>
          </cell>
          <cell r="JR37">
            <v>0.1581743991341627</v>
          </cell>
          <cell r="JS37">
            <v>0.1581743991341627</v>
          </cell>
          <cell r="JT37">
            <v>0.12329106851239416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F2600-E04D-A64E-8EC3-61BA0AB26AEA}">
  <dimension ref="A1:G2078"/>
  <sheetViews>
    <sheetView tabSelected="1" workbookViewId="0">
      <selection activeCell="G16" sqref="G16"/>
    </sheetView>
  </sheetViews>
  <sheetFormatPr baseColWidth="10" defaultRowHeight="16" x14ac:dyDescent="0.2"/>
  <cols>
    <col min="1" max="1" width="5.33203125" style="3" bestFit="1" customWidth="1"/>
    <col min="2" max="2" width="4.6640625" style="3" bestFit="1" customWidth="1"/>
    <col min="3" max="3" width="7.83203125" style="3" bestFit="1" customWidth="1"/>
    <col min="4" max="4" width="14.33203125" style="4" bestFit="1" customWidth="1"/>
    <col min="5" max="5" width="13.83203125" style="3" bestFit="1" customWidth="1"/>
    <col min="6" max="6" width="12.1640625" style="3" bestFit="1" customWidth="1"/>
    <col min="7" max="7" width="16.1640625" style="3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2" t="s">
        <v>3</v>
      </c>
      <c r="E1" s="5" t="s">
        <v>4</v>
      </c>
      <c r="F1" s="7" t="s">
        <v>5</v>
      </c>
      <c r="G1" s="7" t="s">
        <v>6</v>
      </c>
    </row>
    <row r="2" spans="1:7" x14ac:dyDescent="0.2">
      <c r="A2" s="3">
        <v>2021</v>
      </c>
      <c r="B2" s="3">
        <v>100</v>
      </c>
      <c r="C2" s="3" t="str">
        <f>VLOOKUP(B2, '[1]DAR area codes'!A:B,2,FALSE)</f>
        <v>hawaii</v>
      </c>
      <c r="D2" s="4">
        <v>2631.43</v>
      </c>
      <c r="E2" s="6">
        <v>1172.4000000000001</v>
      </c>
      <c r="F2" s="3">
        <v>398.5</v>
      </c>
      <c r="G2" s="3">
        <v>23857.71</v>
      </c>
    </row>
    <row r="3" spans="1:7" x14ac:dyDescent="0.2">
      <c r="A3" s="3">
        <v>2021</v>
      </c>
      <c r="B3" s="3">
        <v>101</v>
      </c>
      <c r="C3" s="3" t="str">
        <f>VLOOKUP(B3, '[1]DAR area codes'!A:B,2,FALSE)</f>
        <v>hawaii</v>
      </c>
      <c r="D3" s="4">
        <v>5436.39</v>
      </c>
      <c r="E3" s="6">
        <v>1533.5</v>
      </c>
      <c r="F3" s="3">
        <v>52263</v>
      </c>
      <c r="G3" s="3">
        <v>63464.070000000007</v>
      </c>
    </row>
    <row r="4" spans="1:7" x14ac:dyDescent="0.2">
      <c r="A4" s="3">
        <v>2021</v>
      </c>
      <c r="B4" s="3">
        <v>102</v>
      </c>
      <c r="C4" s="3" t="str">
        <f>VLOOKUP(B4, '[1]DAR area codes'!A:B,2,FALSE)</f>
        <v>hawaii</v>
      </c>
      <c r="D4" s="4">
        <v>1544.1</v>
      </c>
      <c r="E4" s="6">
        <v>3344.9</v>
      </c>
      <c r="F4" s="3">
        <v>944.8</v>
      </c>
      <c r="G4" s="3">
        <v>27613</v>
      </c>
    </row>
    <row r="5" spans="1:7" x14ac:dyDescent="0.2">
      <c r="A5" s="3">
        <v>2021</v>
      </c>
      <c r="B5" s="3">
        <v>103</v>
      </c>
      <c r="C5" s="3" t="str">
        <f>VLOOKUP(B5, '[1]DAR area codes'!A:B,2,FALSE)</f>
        <v>hawaii</v>
      </c>
      <c r="D5" s="4">
        <v>747.5</v>
      </c>
      <c r="E5" s="6"/>
      <c r="F5" s="3">
        <v>560</v>
      </c>
      <c r="G5" s="3">
        <v>916.5</v>
      </c>
    </row>
    <row r="6" spans="1:7" x14ac:dyDescent="0.2">
      <c r="A6" s="3">
        <v>2021</v>
      </c>
      <c r="B6" s="3">
        <v>104</v>
      </c>
      <c r="C6" s="3" t="str">
        <f>VLOOKUP(B6, '[1]DAR area codes'!A:B,2,FALSE)</f>
        <v>hawaii</v>
      </c>
      <c r="E6" s="6"/>
      <c r="F6" s="3">
        <v>43.1</v>
      </c>
      <c r="G6" s="3">
        <v>290.7</v>
      </c>
    </row>
    <row r="7" spans="1:7" x14ac:dyDescent="0.2">
      <c r="A7" s="3">
        <v>2021</v>
      </c>
      <c r="B7" s="3">
        <v>105</v>
      </c>
      <c r="C7" s="3" t="str">
        <f>VLOOKUP(B7, '[1]DAR area codes'!A:B,2,FALSE)</f>
        <v>hawaii</v>
      </c>
      <c r="D7" s="4">
        <v>2671.6</v>
      </c>
      <c r="E7" s="6">
        <v>312.10000000000002</v>
      </c>
      <c r="F7" s="3">
        <v>4483.3</v>
      </c>
      <c r="G7" s="3">
        <v>22638.800000000003</v>
      </c>
    </row>
    <row r="8" spans="1:7" x14ac:dyDescent="0.2">
      <c r="A8" s="3">
        <v>2021</v>
      </c>
      <c r="B8" s="3">
        <v>106</v>
      </c>
      <c r="C8" s="3" t="str">
        <f>VLOOKUP(B8, '[1]DAR area codes'!A:B,2,FALSE)</f>
        <v>hawaii</v>
      </c>
      <c r="D8" s="4">
        <v>2870.11</v>
      </c>
      <c r="E8" s="6">
        <v>468.5</v>
      </c>
      <c r="F8" s="3">
        <v>5323.7000000000007</v>
      </c>
      <c r="G8" s="3">
        <v>24219.1</v>
      </c>
    </row>
    <row r="9" spans="1:7" x14ac:dyDescent="0.2">
      <c r="A9" s="3">
        <v>2021</v>
      </c>
      <c r="B9" s="3">
        <v>107</v>
      </c>
      <c r="C9" s="3" t="str">
        <f>VLOOKUP(B9, '[1]DAR area codes'!A:B,2,FALSE)</f>
        <v>hawaii</v>
      </c>
      <c r="D9" s="4">
        <v>690.1</v>
      </c>
      <c r="E9" s="6">
        <v>52.3</v>
      </c>
      <c r="F9" s="3">
        <v>556.9</v>
      </c>
      <c r="G9" s="3">
        <v>10951.6</v>
      </c>
    </row>
    <row r="10" spans="1:7" x14ac:dyDescent="0.2">
      <c r="A10" s="3">
        <v>2021</v>
      </c>
      <c r="B10" s="3">
        <v>108</v>
      </c>
      <c r="C10" s="3" t="str">
        <f>VLOOKUP(B10, '[1]DAR area codes'!A:B,2,FALSE)</f>
        <v>hawaii</v>
      </c>
      <c r="E10" s="6"/>
      <c r="F10" s="3">
        <v>0</v>
      </c>
      <c r="G10" s="3">
        <v>3442.91</v>
      </c>
    </row>
    <row r="11" spans="1:7" x14ac:dyDescent="0.2">
      <c r="A11" s="3">
        <v>2021</v>
      </c>
      <c r="B11" s="3">
        <v>120</v>
      </c>
      <c r="C11" s="3" t="str">
        <f>VLOOKUP(B11, '[1]DAR area codes'!A:B,2,FALSE)</f>
        <v>hawaii</v>
      </c>
      <c r="D11" s="4">
        <v>1599.5</v>
      </c>
      <c r="E11" s="6">
        <v>1176.5</v>
      </c>
      <c r="F11" s="3">
        <v>0</v>
      </c>
      <c r="G11" s="3">
        <v>35139.399999999994</v>
      </c>
    </row>
    <row r="12" spans="1:7" x14ac:dyDescent="0.2">
      <c r="A12" s="3">
        <v>2021</v>
      </c>
      <c r="B12" s="3">
        <v>121</v>
      </c>
      <c r="C12" s="3" t="str">
        <f>VLOOKUP(B12, '[1]DAR area codes'!A:B,2,FALSE)</f>
        <v>hawaii</v>
      </c>
      <c r="D12" s="4">
        <v>9826.19</v>
      </c>
      <c r="E12" s="6">
        <v>1072.31</v>
      </c>
      <c r="F12" s="3">
        <v>12046.8</v>
      </c>
      <c r="G12" s="3">
        <v>506069.2</v>
      </c>
    </row>
    <row r="13" spans="1:7" x14ac:dyDescent="0.2">
      <c r="A13" s="3">
        <v>2021</v>
      </c>
      <c r="B13" s="3">
        <v>122</v>
      </c>
      <c r="C13" s="3" t="str">
        <f>VLOOKUP(B13, '[1]DAR area codes'!A:B,2,FALSE)</f>
        <v>hawaii</v>
      </c>
      <c r="D13" s="4">
        <v>10504.15</v>
      </c>
      <c r="E13" s="6">
        <v>4385.7</v>
      </c>
      <c r="F13" s="3">
        <v>2473.81</v>
      </c>
      <c r="G13" s="3">
        <v>98982.67</v>
      </c>
    </row>
    <row r="14" spans="1:7" x14ac:dyDescent="0.2">
      <c r="A14" s="3">
        <v>2021</v>
      </c>
      <c r="B14" s="3">
        <v>123</v>
      </c>
      <c r="C14" s="3" t="str">
        <f>VLOOKUP(B14, '[1]DAR area codes'!A:B,2,FALSE)</f>
        <v>hawaii</v>
      </c>
      <c r="E14" s="6"/>
      <c r="F14" s="3">
        <v>0</v>
      </c>
      <c r="G14" s="3">
        <v>2772.5</v>
      </c>
    </row>
    <row r="15" spans="1:7" x14ac:dyDescent="0.2">
      <c r="A15" s="3">
        <v>2021</v>
      </c>
      <c r="B15" s="3">
        <v>124</v>
      </c>
      <c r="C15" s="3" t="str">
        <f>VLOOKUP(B15, '[1]DAR area codes'!A:B,2,FALSE)</f>
        <v>hawaii</v>
      </c>
      <c r="D15" s="4">
        <v>673</v>
      </c>
      <c r="E15" s="6"/>
      <c r="F15" s="3">
        <v>0</v>
      </c>
      <c r="G15" s="3">
        <v>32816.6</v>
      </c>
    </row>
    <row r="16" spans="1:7" x14ac:dyDescent="0.2">
      <c r="A16" s="3">
        <v>2021</v>
      </c>
      <c r="B16" s="3">
        <v>125</v>
      </c>
      <c r="C16" s="3" t="str">
        <f>VLOOKUP(B16, '[1]DAR area codes'!A:B,2,FALSE)</f>
        <v>hawaii</v>
      </c>
      <c r="D16" s="4">
        <v>3657.19</v>
      </c>
      <c r="E16" s="6">
        <v>392.9</v>
      </c>
      <c r="F16" s="3">
        <v>95.8</v>
      </c>
      <c r="G16" s="3">
        <v>232556.17</v>
      </c>
    </row>
    <row r="17" spans="1:7" x14ac:dyDescent="0.2">
      <c r="A17" s="3">
        <v>2021</v>
      </c>
      <c r="B17" s="3">
        <v>126</v>
      </c>
      <c r="C17" s="3" t="str">
        <f>VLOOKUP(B17, '[1]DAR area codes'!A:B,2,FALSE)</f>
        <v>hawaii</v>
      </c>
      <c r="D17" s="4">
        <v>3053.5</v>
      </c>
      <c r="E17" s="6">
        <v>1056.7</v>
      </c>
      <c r="F17" s="3">
        <v>80.400000000000006</v>
      </c>
      <c r="G17" s="3">
        <v>111841.33999999998</v>
      </c>
    </row>
    <row r="18" spans="1:7" x14ac:dyDescent="0.2">
      <c r="A18" s="3">
        <v>2021</v>
      </c>
      <c r="B18" s="3">
        <v>127</v>
      </c>
      <c r="C18" s="3" t="str">
        <f>VLOOKUP(B18, '[1]DAR area codes'!A:B,2,FALSE)</f>
        <v>hawaii</v>
      </c>
      <c r="E18" s="6"/>
      <c r="F18" s="3">
        <v>0</v>
      </c>
      <c r="G18" s="3">
        <v>18685.8</v>
      </c>
    </row>
    <row r="19" spans="1:7" x14ac:dyDescent="0.2">
      <c r="A19" s="3">
        <v>2021</v>
      </c>
      <c r="B19" s="3">
        <v>128</v>
      </c>
      <c r="C19" s="3" t="str">
        <f>VLOOKUP(B19, '[1]DAR area codes'!A:B,2,FALSE)</f>
        <v>hawaii</v>
      </c>
      <c r="D19" s="4">
        <v>2925.9</v>
      </c>
      <c r="E19" s="6">
        <v>376.4</v>
      </c>
      <c r="F19" s="3">
        <v>0</v>
      </c>
      <c r="G19" s="3">
        <v>88915.23</v>
      </c>
    </row>
    <row r="20" spans="1:7" x14ac:dyDescent="0.2">
      <c r="A20" s="3">
        <v>2021</v>
      </c>
      <c r="B20" s="3">
        <v>300</v>
      </c>
      <c r="C20" s="3" t="str">
        <f>VLOOKUP(B20, '[1]DAR area codes'!A:B,2,FALSE)</f>
        <v>maui</v>
      </c>
      <c r="D20" s="4">
        <v>490.8</v>
      </c>
      <c r="E20" s="6">
        <v>619.54999999999995</v>
      </c>
      <c r="F20" s="3">
        <v>27953.35</v>
      </c>
      <c r="G20" s="3">
        <v>1435.4</v>
      </c>
    </row>
    <row r="21" spans="1:7" x14ac:dyDescent="0.2">
      <c r="A21" s="3">
        <v>2021</v>
      </c>
      <c r="B21" s="3">
        <v>301</v>
      </c>
      <c r="C21" s="3" t="str">
        <f>VLOOKUP(B21, '[1]DAR area codes'!A:B,2,FALSE)</f>
        <v>maui</v>
      </c>
      <c r="D21" s="4">
        <v>20</v>
      </c>
      <c r="E21" s="6"/>
      <c r="F21" s="3">
        <v>1050.8</v>
      </c>
      <c r="G21" s="3">
        <v>0</v>
      </c>
    </row>
    <row r="22" spans="1:7" x14ac:dyDescent="0.2">
      <c r="A22" s="3">
        <v>2021</v>
      </c>
      <c r="B22" s="3">
        <v>302</v>
      </c>
      <c r="C22" s="3" t="str">
        <f>VLOOKUP(B22, '[1]DAR area codes'!A:B,2,FALSE)</f>
        <v>maui</v>
      </c>
      <c r="E22" s="6"/>
      <c r="F22" s="3">
        <v>2428.1999999999998</v>
      </c>
      <c r="G22" s="3">
        <v>410.7</v>
      </c>
    </row>
    <row r="23" spans="1:7" x14ac:dyDescent="0.2">
      <c r="A23" s="3">
        <v>2021</v>
      </c>
      <c r="B23" s="3">
        <v>303</v>
      </c>
      <c r="C23" s="3" t="str">
        <f>VLOOKUP(B23, '[1]DAR area codes'!A:B,2,FALSE)</f>
        <v>maui</v>
      </c>
      <c r="D23" s="4">
        <v>2380.9</v>
      </c>
      <c r="E23" s="6">
        <v>674</v>
      </c>
      <c r="F23" s="3">
        <v>522</v>
      </c>
      <c r="G23" s="3">
        <v>1626.6</v>
      </c>
    </row>
    <row r="24" spans="1:7" x14ac:dyDescent="0.2">
      <c r="A24" s="3">
        <v>2021</v>
      </c>
      <c r="B24" s="3">
        <v>304</v>
      </c>
      <c r="C24" s="3" t="str">
        <f>VLOOKUP(B24, '[1]DAR area codes'!A:B,2,FALSE)</f>
        <v>maui</v>
      </c>
      <c r="D24" s="4">
        <v>4260.01</v>
      </c>
      <c r="E24" s="6">
        <v>178</v>
      </c>
      <c r="F24" s="3">
        <v>0</v>
      </c>
      <c r="G24" s="3">
        <v>1972</v>
      </c>
    </row>
    <row r="25" spans="1:7" x14ac:dyDescent="0.2">
      <c r="A25" s="3">
        <v>2021</v>
      </c>
      <c r="B25" s="3">
        <v>305</v>
      </c>
      <c r="C25" s="3" t="str">
        <f>VLOOKUP(B25, '[1]DAR area codes'!A:B,2,FALSE)</f>
        <v>maui</v>
      </c>
      <c r="D25" s="4">
        <v>1684.9</v>
      </c>
      <c r="E25" s="6">
        <v>278.3</v>
      </c>
      <c r="F25" s="3">
        <v>381.5</v>
      </c>
      <c r="G25" s="3">
        <v>2459.8000000000002</v>
      </c>
    </row>
    <row r="26" spans="1:7" x14ac:dyDescent="0.2">
      <c r="A26" s="3">
        <v>2021</v>
      </c>
      <c r="B26" s="3">
        <v>306</v>
      </c>
      <c r="C26" s="3" t="str">
        <f>VLOOKUP(B26, '[1]DAR area codes'!A:B,2,FALSE)</f>
        <v>maui</v>
      </c>
      <c r="E26" s="6"/>
      <c r="F26" s="3">
        <v>0</v>
      </c>
      <c r="G26" s="3">
        <v>622</v>
      </c>
    </row>
    <row r="27" spans="1:7" x14ac:dyDescent="0.2">
      <c r="A27" s="3">
        <v>2021</v>
      </c>
      <c r="B27" s="3">
        <v>307</v>
      </c>
      <c r="C27" s="3" t="str">
        <f>VLOOKUP(B27, '[1]DAR area codes'!A:B,2,FALSE)</f>
        <v>maui</v>
      </c>
      <c r="E27" s="6"/>
      <c r="F27" s="3">
        <v>0</v>
      </c>
      <c r="G27" s="3">
        <v>0</v>
      </c>
    </row>
    <row r="28" spans="1:7" x14ac:dyDescent="0.2">
      <c r="A28" s="3">
        <v>2021</v>
      </c>
      <c r="B28" s="3">
        <v>308</v>
      </c>
      <c r="C28" s="3" t="str">
        <f>VLOOKUP(B28, '[1]DAR area codes'!A:B,2,FALSE)</f>
        <v>maui</v>
      </c>
      <c r="D28" s="4">
        <v>272.8</v>
      </c>
      <c r="E28" s="6">
        <v>2182.3000000000002</v>
      </c>
      <c r="F28" s="3">
        <v>824.4</v>
      </c>
      <c r="G28" s="3">
        <v>5035.3999999999996</v>
      </c>
    </row>
    <row r="29" spans="1:7" x14ac:dyDescent="0.2">
      <c r="A29" s="3">
        <v>2021</v>
      </c>
      <c r="B29" s="3">
        <v>309</v>
      </c>
      <c r="C29" s="3" t="str">
        <f>VLOOKUP(B29, '[1]DAR area codes'!A:B,2,FALSE)</f>
        <v>maui</v>
      </c>
      <c r="E29" s="6"/>
      <c r="F29" s="3">
        <v>0</v>
      </c>
      <c r="G29" s="3">
        <v>0</v>
      </c>
    </row>
    <row r="30" spans="1:7" x14ac:dyDescent="0.2">
      <c r="A30" s="3">
        <v>2021</v>
      </c>
      <c r="B30" s="3">
        <v>310</v>
      </c>
      <c r="C30" s="3" t="str">
        <f>VLOOKUP(B30, '[1]DAR area codes'!A:B,2,FALSE)</f>
        <v>maui</v>
      </c>
      <c r="D30" s="4">
        <v>252</v>
      </c>
      <c r="E30" s="6"/>
      <c r="F30" s="3">
        <v>0</v>
      </c>
      <c r="G30" s="3">
        <v>158</v>
      </c>
    </row>
    <row r="31" spans="1:7" x14ac:dyDescent="0.2">
      <c r="A31" s="3">
        <v>2021</v>
      </c>
      <c r="B31" s="3">
        <v>311</v>
      </c>
      <c r="C31" s="3" t="str">
        <f>VLOOKUP(B31, '[1]DAR area codes'!A:B,2,FALSE)</f>
        <v>maui</v>
      </c>
      <c r="E31" s="6"/>
      <c r="F31" s="3">
        <v>0</v>
      </c>
      <c r="G31" s="3">
        <v>0</v>
      </c>
    </row>
    <row r="32" spans="1:7" x14ac:dyDescent="0.2">
      <c r="A32" s="3">
        <v>2021</v>
      </c>
      <c r="B32" s="3">
        <v>312</v>
      </c>
      <c r="C32" s="3" t="str">
        <f>VLOOKUP(B32, '[1]DAR area codes'!A:B,2,FALSE)</f>
        <v>maui</v>
      </c>
      <c r="D32" s="4">
        <v>227</v>
      </c>
      <c r="E32" s="6"/>
      <c r="F32" s="3">
        <v>0</v>
      </c>
      <c r="G32" s="3">
        <v>1041</v>
      </c>
    </row>
    <row r="33" spans="1:7" x14ac:dyDescent="0.2">
      <c r="A33" s="3">
        <v>2021</v>
      </c>
      <c r="B33" s="3">
        <v>313</v>
      </c>
      <c r="C33" s="3" t="str">
        <f>VLOOKUP(B33, '[1]DAR area codes'!A:B,2,FALSE)</f>
        <v>maui</v>
      </c>
      <c r="D33" s="4">
        <v>3604.2</v>
      </c>
      <c r="E33" s="6"/>
      <c r="F33" s="3">
        <v>0</v>
      </c>
      <c r="G33" s="3">
        <v>2138.6</v>
      </c>
    </row>
    <row r="34" spans="1:7" x14ac:dyDescent="0.2">
      <c r="A34" s="3">
        <v>2021</v>
      </c>
      <c r="B34" s="3">
        <v>314</v>
      </c>
      <c r="C34" s="3" t="str">
        <f>VLOOKUP(B34, '[1]DAR area codes'!A:B,2,FALSE)</f>
        <v>maui</v>
      </c>
      <c r="E34" s="6"/>
      <c r="F34" s="3">
        <v>0</v>
      </c>
      <c r="G34" s="3">
        <v>0</v>
      </c>
    </row>
    <row r="35" spans="1:7" x14ac:dyDescent="0.2">
      <c r="A35" s="3">
        <v>2021</v>
      </c>
      <c r="B35" s="3">
        <v>320</v>
      </c>
      <c r="C35" s="3" t="str">
        <f>VLOOKUP(B35, '[1]DAR area codes'!A:B,2,FALSE)</f>
        <v>maui</v>
      </c>
      <c r="D35" s="4">
        <v>18980.66</v>
      </c>
      <c r="E35" s="6">
        <v>7718.17</v>
      </c>
      <c r="F35" s="3">
        <v>3739.8</v>
      </c>
      <c r="G35" s="3">
        <v>11594.300000000001</v>
      </c>
    </row>
    <row r="36" spans="1:7" x14ac:dyDescent="0.2">
      <c r="A36" s="3">
        <v>2021</v>
      </c>
      <c r="B36" s="3">
        <v>321</v>
      </c>
      <c r="C36" s="3" t="str">
        <f>VLOOKUP(B36, '[1]DAR area codes'!A:B,2,FALSE)</f>
        <v>maui</v>
      </c>
      <c r="D36" s="4">
        <v>7516.4</v>
      </c>
      <c r="E36" s="6">
        <v>1918.5</v>
      </c>
      <c r="F36" s="3">
        <v>84.15</v>
      </c>
      <c r="G36" s="3">
        <v>4808.0499999999993</v>
      </c>
    </row>
    <row r="37" spans="1:7" x14ac:dyDescent="0.2">
      <c r="A37" s="3">
        <v>2021</v>
      </c>
      <c r="B37" s="3">
        <v>322</v>
      </c>
      <c r="C37" s="3" t="str">
        <f>VLOOKUP(B37, '[1]DAR area codes'!A:B,2,FALSE)</f>
        <v>maui</v>
      </c>
      <c r="D37" s="4">
        <v>13339.9</v>
      </c>
      <c r="E37" s="6"/>
      <c r="F37" s="3">
        <v>0</v>
      </c>
      <c r="G37" s="3">
        <v>43919.200000000004</v>
      </c>
    </row>
    <row r="38" spans="1:7" x14ac:dyDescent="0.2">
      <c r="A38" s="3">
        <v>2021</v>
      </c>
      <c r="B38" s="3">
        <v>323</v>
      </c>
      <c r="C38" s="3" t="str">
        <f>VLOOKUP(B38, '[1]DAR area codes'!A:B,2,FALSE)</f>
        <v>maui</v>
      </c>
      <c r="D38" s="4">
        <v>1437.7</v>
      </c>
      <c r="E38" s="6"/>
      <c r="F38" s="3">
        <v>825</v>
      </c>
      <c r="G38" s="3">
        <v>76601</v>
      </c>
    </row>
    <row r="39" spans="1:7" x14ac:dyDescent="0.2">
      <c r="A39" s="3">
        <v>2021</v>
      </c>
      <c r="B39" s="3">
        <v>324</v>
      </c>
      <c r="C39" s="3" t="str">
        <f>VLOOKUP(B39, '[1]DAR area codes'!A:B,2,FALSE)</f>
        <v>maui</v>
      </c>
      <c r="D39" s="4">
        <v>866.2</v>
      </c>
      <c r="E39" s="6"/>
      <c r="F39" s="3">
        <v>0</v>
      </c>
      <c r="G39" s="3">
        <v>33437.03</v>
      </c>
    </row>
    <row r="40" spans="1:7" x14ac:dyDescent="0.2">
      <c r="A40" s="3">
        <v>2021</v>
      </c>
      <c r="B40" s="3">
        <v>325</v>
      </c>
      <c r="C40" s="3" t="str">
        <f>VLOOKUP(B40, '[1]DAR area codes'!A:B,2,FALSE)</f>
        <v>maui</v>
      </c>
      <c r="D40" s="4">
        <v>1223.0999999999999</v>
      </c>
      <c r="E40" s="6"/>
      <c r="F40" s="3">
        <v>0</v>
      </c>
      <c r="G40" s="3">
        <v>15539.2</v>
      </c>
    </row>
    <row r="41" spans="1:7" x14ac:dyDescent="0.2">
      <c r="A41" s="3">
        <v>2021</v>
      </c>
      <c r="B41" s="3">
        <v>326</v>
      </c>
      <c r="C41" s="3" t="str">
        <f>VLOOKUP(B41, '[1]DAR area codes'!A:B,2,FALSE)</f>
        <v>maui</v>
      </c>
      <c r="E41" s="6"/>
      <c r="F41" s="3">
        <v>0</v>
      </c>
      <c r="G41" s="3">
        <v>4913</v>
      </c>
    </row>
    <row r="42" spans="1:7" x14ac:dyDescent="0.2">
      <c r="A42" s="3">
        <v>2021</v>
      </c>
      <c r="B42" s="3">
        <v>327</v>
      </c>
      <c r="C42" s="3" t="str">
        <f>VLOOKUP(B42, '[1]DAR area codes'!A:B,2,FALSE)</f>
        <v>maui</v>
      </c>
      <c r="D42" s="4">
        <v>6600.95</v>
      </c>
      <c r="E42" s="6">
        <v>2016.2</v>
      </c>
      <c r="F42" s="3">
        <v>0</v>
      </c>
      <c r="G42" s="3">
        <v>10518.8</v>
      </c>
    </row>
    <row r="43" spans="1:7" x14ac:dyDescent="0.2">
      <c r="A43" s="3">
        <v>2021</v>
      </c>
      <c r="B43" s="3">
        <v>328</v>
      </c>
      <c r="C43" s="3" t="str">
        <f>VLOOKUP(B43, '[1]DAR area codes'!A:B,2,FALSE)</f>
        <v>maui</v>
      </c>
      <c r="D43" s="4">
        <v>1037.5</v>
      </c>
      <c r="E43" s="6">
        <v>459.1</v>
      </c>
      <c r="F43" s="3">
        <v>0</v>
      </c>
      <c r="G43" s="3">
        <v>56252.1</v>
      </c>
    </row>
    <row r="44" spans="1:7" x14ac:dyDescent="0.2">
      <c r="A44" s="3">
        <v>2021</v>
      </c>
      <c r="B44" s="3">
        <v>331</v>
      </c>
      <c r="C44" s="3" t="str">
        <f>VLOOKUP(B44, '[1]DAR area codes'!A:B,2,FALSE)</f>
        <v>maui</v>
      </c>
      <c r="D44" s="4">
        <v>24609.200000000001</v>
      </c>
      <c r="E44" s="6">
        <v>19478.7</v>
      </c>
      <c r="F44" s="3">
        <v>929.6</v>
      </c>
      <c r="G44" s="3">
        <v>16684.3</v>
      </c>
    </row>
    <row r="45" spans="1:7" x14ac:dyDescent="0.2">
      <c r="A45" s="3">
        <v>2021</v>
      </c>
      <c r="B45" s="3">
        <v>332</v>
      </c>
      <c r="C45" s="3" t="str">
        <f>VLOOKUP(B45, '[1]DAR area codes'!A:B,2,FALSE)</f>
        <v>maui</v>
      </c>
      <c r="E45" s="6"/>
      <c r="F45" s="3">
        <v>0</v>
      </c>
      <c r="G45" s="3">
        <v>2911</v>
      </c>
    </row>
    <row r="46" spans="1:7" x14ac:dyDescent="0.2">
      <c r="A46" s="3">
        <v>2021</v>
      </c>
      <c r="B46" s="3">
        <v>333</v>
      </c>
      <c r="C46" s="3" t="str">
        <f>VLOOKUP(B46, '[1]DAR area codes'!A:B,2,FALSE)</f>
        <v>maui</v>
      </c>
      <c r="D46" s="4">
        <v>394</v>
      </c>
      <c r="E46" s="6"/>
      <c r="F46" s="3">
        <v>0</v>
      </c>
      <c r="G46" s="3">
        <v>1821.4</v>
      </c>
    </row>
    <row r="47" spans="1:7" x14ac:dyDescent="0.2">
      <c r="A47" s="3">
        <v>2021</v>
      </c>
      <c r="B47" s="3">
        <v>400</v>
      </c>
      <c r="C47" s="3" t="str">
        <f>VLOOKUP(B47, '[1]DAR area codes'!A:B,2,FALSE)</f>
        <v>oahu</v>
      </c>
      <c r="E47" s="6"/>
      <c r="F47" s="3">
        <v>5661.5599999999995</v>
      </c>
      <c r="G47" s="3">
        <v>435</v>
      </c>
    </row>
    <row r="48" spans="1:7" x14ac:dyDescent="0.2">
      <c r="A48" s="3">
        <v>2021</v>
      </c>
      <c r="B48" s="3">
        <v>401</v>
      </c>
      <c r="C48" s="3" t="str">
        <f>VLOOKUP(B48, '[1]DAR area codes'!A:B,2,FALSE)</f>
        <v>oahu</v>
      </c>
      <c r="D48" s="4">
        <v>368.5</v>
      </c>
      <c r="E48" s="6">
        <v>382.04</v>
      </c>
      <c r="F48" s="3">
        <v>29625.07</v>
      </c>
      <c r="G48" s="3">
        <v>719</v>
      </c>
    </row>
    <row r="49" spans="1:7" x14ac:dyDescent="0.2">
      <c r="A49" s="3">
        <v>2021</v>
      </c>
      <c r="B49" s="3">
        <v>402</v>
      </c>
      <c r="C49" s="3" t="str">
        <f>VLOOKUP(B49, '[1]DAR area codes'!A:B,2,FALSE)</f>
        <v>oahu</v>
      </c>
      <c r="D49" s="4">
        <v>1576.3</v>
      </c>
      <c r="E49" s="6">
        <v>816.22</v>
      </c>
      <c r="F49" s="3">
        <v>41597.349999999991</v>
      </c>
      <c r="G49" s="3">
        <v>7827.4</v>
      </c>
    </row>
    <row r="50" spans="1:7" x14ac:dyDescent="0.2">
      <c r="A50" s="3">
        <v>2021</v>
      </c>
      <c r="B50" s="3">
        <v>403</v>
      </c>
      <c r="C50" s="3" t="str">
        <f>VLOOKUP(B50, '[1]DAR area codes'!A:B,2,FALSE)</f>
        <v>oahu</v>
      </c>
      <c r="D50" s="4">
        <v>1883</v>
      </c>
      <c r="E50" s="6">
        <v>1107.28</v>
      </c>
      <c r="F50" s="3">
        <v>113562.87999999999</v>
      </c>
      <c r="G50" s="3">
        <v>3777.4</v>
      </c>
    </row>
    <row r="51" spans="1:7" x14ac:dyDescent="0.2">
      <c r="A51" s="3">
        <v>2021</v>
      </c>
      <c r="B51" s="3">
        <v>404</v>
      </c>
      <c r="C51" s="3" t="str">
        <f>VLOOKUP(B51, '[1]DAR area codes'!A:B,2,FALSE)</f>
        <v>oahu</v>
      </c>
      <c r="E51" s="6">
        <v>537.15</v>
      </c>
      <c r="F51" s="3">
        <v>37997.68</v>
      </c>
      <c r="G51" s="3">
        <v>229.7</v>
      </c>
    </row>
    <row r="52" spans="1:7" x14ac:dyDescent="0.2">
      <c r="A52" s="3">
        <v>2021</v>
      </c>
      <c r="B52" s="3">
        <v>405</v>
      </c>
      <c r="C52" s="3" t="str">
        <f>VLOOKUP(B52, '[1]DAR area codes'!A:B,2,FALSE)</f>
        <v>oahu</v>
      </c>
      <c r="E52" s="6">
        <v>417.4</v>
      </c>
      <c r="F52" s="3">
        <v>12333.369999999999</v>
      </c>
      <c r="G52" s="3">
        <v>106</v>
      </c>
    </row>
    <row r="53" spans="1:7" x14ac:dyDescent="0.2">
      <c r="A53" s="3">
        <v>2021</v>
      </c>
      <c r="B53" s="3">
        <v>406</v>
      </c>
      <c r="C53" s="3" t="str">
        <f>VLOOKUP(B53, '[1]DAR area codes'!A:B,2,FALSE)</f>
        <v>oahu</v>
      </c>
      <c r="E53" s="6"/>
      <c r="F53" s="3">
        <v>20748.310000000001</v>
      </c>
      <c r="G53" s="3">
        <v>0</v>
      </c>
    </row>
    <row r="54" spans="1:7" x14ac:dyDescent="0.2">
      <c r="A54" s="3">
        <v>2021</v>
      </c>
      <c r="B54" s="3">
        <v>407</v>
      </c>
      <c r="C54" s="3" t="str">
        <f>VLOOKUP(B54, '[1]DAR area codes'!A:B,2,FALSE)</f>
        <v>oahu</v>
      </c>
      <c r="E54" s="6">
        <v>416.66</v>
      </c>
      <c r="F54" s="3">
        <v>28503.29</v>
      </c>
      <c r="G54" s="3">
        <v>0</v>
      </c>
    </row>
    <row r="55" spans="1:7" x14ac:dyDescent="0.2">
      <c r="A55" s="3">
        <v>2021</v>
      </c>
      <c r="B55" s="3">
        <v>408</v>
      </c>
      <c r="C55" s="3" t="str">
        <f>VLOOKUP(B55, '[1]DAR area codes'!A:B,2,FALSE)</f>
        <v>oahu</v>
      </c>
      <c r="E55" s="6"/>
      <c r="F55" s="3">
        <v>6294.29</v>
      </c>
      <c r="G55" s="3">
        <v>0</v>
      </c>
    </row>
    <row r="56" spans="1:7" x14ac:dyDescent="0.2">
      <c r="A56" s="3">
        <v>2021</v>
      </c>
      <c r="B56" s="3">
        <v>409</v>
      </c>
      <c r="C56" s="3" t="str">
        <f>VLOOKUP(B56, '[1]DAR area codes'!A:B,2,FALSE)</f>
        <v>oahu</v>
      </c>
      <c r="D56" s="4">
        <v>66</v>
      </c>
      <c r="E56" s="6"/>
      <c r="F56" s="3">
        <v>25606.840000000004</v>
      </c>
      <c r="G56" s="3">
        <v>748</v>
      </c>
    </row>
    <row r="57" spans="1:7" x14ac:dyDescent="0.2">
      <c r="A57" s="3">
        <v>2021</v>
      </c>
      <c r="B57" s="3">
        <v>420</v>
      </c>
      <c r="C57" s="3" t="str">
        <f>VLOOKUP(B57, '[1]DAR area codes'!A:B,2,FALSE)</f>
        <v>oahu</v>
      </c>
      <c r="D57" s="4">
        <v>37</v>
      </c>
      <c r="E57" s="6"/>
      <c r="F57" s="3">
        <v>217</v>
      </c>
      <c r="G57" s="3">
        <v>5582.2</v>
      </c>
    </row>
    <row r="58" spans="1:7" x14ac:dyDescent="0.2">
      <c r="A58" s="3">
        <v>2021</v>
      </c>
      <c r="B58" s="3">
        <v>421</v>
      </c>
      <c r="C58" s="3" t="str">
        <f>VLOOKUP(B58, '[1]DAR area codes'!A:B,2,FALSE)</f>
        <v>oahu</v>
      </c>
      <c r="D58" s="4">
        <v>187.5</v>
      </c>
      <c r="E58" s="6">
        <v>100.5</v>
      </c>
      <c r="F58" s="3">
        <v>267</v>
      </c>
      <c r="G58" s="3">
        <v>37501.300000000003</v>
      </c>
    </row>
    <row r="59" spans="1:7" x14ac:dyDescent="0.2">
      <c r="A59" s="3">
        <v>2021</v>
      </c>
      <c r="B59" s="3">
        <v>422</v>
      </c>
      <c r="C59" s="3" t="str">
        <f>VLOOKUP(B59, '[1]DAR area codes'!A:B,2,FALSE)</f>
        <v>oahu</v>
      </c>
      <c r="E59" s="6"/>
      <c r="F59" s="3">
        <v>315.5</v>
      </c>
      <c r="G59" s="3">
        <v>53603.1</v>
      </c>
    </row>
    <row r="60" spans="1:7" x14ac:dyDescent="0.2">
      <c r="A60" s="3">
        <v>2021</v>
      </c>
      <c r="B60" s="3">
        <v>423</v>
      </c>
      <c r="C60" s="3" t="str">
        <f>VLOOKUP(B60, '[1]DAR area codes'!A:B,2,FALSE)</f>
        <v>oahu</v>
      </c>
      <c r="D60" s="4">
        <v>2751.5</v>
      </c>
      <c r="E60" s="6">
        <v>390.6</v>
      </c>
      <c r="F60" s="3">
        <v>5434.25</v>
      </c>
      <c r="G60" s="3">
        <v>109592.6</v>
      </c>
    </row>
    <row r="61" spans="1:7" x14ac:dyDescent="0.2">
      <c r="A61" s="3">
        <v>2021</v>
      </c>
      <c r="B61" s="3">
        <v>424</v>
      </c>
      <c r="C61" s="3" t="str">
        <f>VLOOKUP(B61, '[1]DAR area codes'!A:B,2,FALSE)</f>
        <v>oahu</v>
      </c>
      <c r="E61" s="6"/>
      <c r="F61" s="3">
        <v>3673.85</v>
      </c>
      <c r="G61" s="3">
        <v>40411.1</v>
      </c>
    </row>
    <row r="62" spans="1:7" x14ac:dyDescent="0.2">
      <c r="A62" s="3">
        <v>2021</v>
      </c>
      <c r="B62" s="3">
        <v>425</v>
      </c>
      <c r="C62" s="3" t="str">
        <f>VLOOKUP(B62, '[1]DAR area codes'!A:B,2,FALSE)</f>
        <v>oahu</v>
      </c>
      <c r="E62" s="6"/>
      <c r="F62" s="3">
        <v>0</v>
      </c>
      <c r="G62" s="3">
        <v>58064.4</v>
      </c>
    </row>
    <row r="63" spans="1:7" x14ac:dyDescent="0.2">
      <c r="A63" s="3">
        <v>2021</v>
      </c>
      <c r="B63" s="3">
        <v>426</v>
      </c>
      <c r="C63" s="3" t="str">
        <f>VLOOKUP(B63, '[1]DAR area codes'!A:B,2,FALSE)</f>
        <v>oahu</v>
      </c>
      <c r="E63" s="6"/>
      <c r="F63" s="3">
        <v>0</v>
      </c>
      <c r="G63" s="3">
        <v>66819.5</v>
      </c>
    </row>
    <row r="64" spans="1:7" x14ac:dyDescent="0.2">
      <c r="A64" s="3">
        <v>2021</v>
      </c>
      <c r="B64" s="3">
        <v>427</v>
      </c>
      <c r="C64" s="3" t="str">
        <f>VLOOKUP(B64, '[1]DAR area codes'!A:B,2,FALSE)</f>
        <v>oahu</v>
      </c>
      <c r="E64" s="6">
        <v>519</v>
      </c>
      <c r="F64" s="3">
        <v>205.4</v>
      </c>
      <c r="G64" s="3">
        <v>78876.800000000003</v>
      </c>
    </row>
    <row r="65" spans="1:7" x14ac:dyDescent="0.2">
      <c r="A65" s="3">
        <v>2021</v>
      </c>
      <c r="B65" s="3">
        <v>428</v>
      </c>
      <c r="C65" s="3" t="str">
        <f>VLOOKUP(B65, '[1]DAR area codes'!A:B,2,FALSE)</f>
        <v>oahu</v>
      </c>
      <c r="E65" s="6"/>
      <c r="F65" s="3">
        <v>0</v>
      </c>
      <c r="G65" s="3">
        <v>4043</v>
      </c>
    </row>
    <row r="66" spans="1:7" x14ac:dyDescent="0.2">
      <c r="A66" s="3">
        <v>2021</v>
      </c>
      <c r="B66" s="3">
        <v>429</v>
      </c>
      <c r="C66" s="3" t="str">
        <f>VLOOKUP(B66, '[1]DAR area codes'!A:B,2,FALSE)</f>
        <v>oahu</v>
      </c>
      <c r="D66" s="4">
        <v>802.3</v>
      </c>
      <c r="E66" s="6">
        <v>246.7</v>
      </c>
      <c r="F66" s="3">
        <v>350</v>
      </c>
      <c r="G66" s="3">
        <v>3441</v>
      </c>
    </row>
    <row r="67" spans="1:7" x14ac:dyDescent="0.2">
      <c r="A67" s="3">
        <v>2021</v>
      </c>
      <c r="B67" s="3">
        <v>500</v>
      </c>
      <c r="C67" s="3" t="str">
        <f>VLOOKUP(B67, '[1]DAR area codes'!A:B,2,FALSE)</f>
        <v>kauai</v>
      </c>
      <c r="D67" s="4">
        <v>490.1</v>
      </c>
      <c r="E67" s="6">
        <v>2595.4499999999998</v>
      </c>
      <c r="F67" s="3">
        <v>43696.4</v>
      </c>
      <c r="G67" s="3">
        <v>3126</v>
      </c>
    </row>
    <row r="68" spans="1:7" x14ac:dyDescent="0.2">
      <c r="A68" s="3">
        <v>2021</v>
      </c>
      <c r="B68" s="3">
        <v>501</v>
      </c>
      <c r="C68" s="3" t="str">
        <f>VLOOKUP(B68, '[1]DAR area codes'!A:B,2,FALSE)</f>
        <v>kauai</v>
      </c>
      <c r="D68" s="4">
        <v>1212.9000000000001</v>
      </c>
      <c r="E68" s="6">
        <v>3200.7</v>
      </c>
      <c r="F68" s="3">
        <v>16733.879999999997</v>
      </c>
      <c r="G68" s="3">
        <v>1328</v>
      </c>
    </row>
    <row r="69" spans="1:7" x14ac:dyDescent="0.2">
      <c r="A69" s="3">
        <v>2021</v>
      </c>
      <c r="B69" s="3">
        <v>502</v>
      </c>
      <c r="C69" s="3" t="str">
        <f>VLOOKUP(B69, '[1]DAR area codes'!A:B,2,FALSE)</f>
        <v>kauai</v>
      </c>
      <c r="E69" s="6"/>
      <c r="F69" s="3">
        <v>0</v>
      </c>
      <c r="G69" s="3">
        <v>0</v>
      </c>
    </row>
    <row r="70" spans="1:7" x14ac:dyDescent="0.2">
      <c r="A70" s="3">
        <v>2021</v>
      </c>
      <c r="B70" s="3">
        <v>503</v>
      </c>
      <c r="C70" s="3" t="str">
        <f>VLOOKUP(B70, '[1]DAR area codes'!A:B,2,FALSE)</f>
        <v>kauai</v>
      </c>
      <c r="D70" s="4">
        <v>179</v>
      </c>
      <c r="E70" s="6"/>
      <c r="F70" s="3">
        <v>0</v>
      </c>
      <c r="G70" s="3">
        <v>434</v>
      </c>
    </row>
    <row r="71" spans="1:7" x14ac:dyDescent="0.2">
      <c r="A71" s="3">
        <v>2021</v>
      </c>
      <c r="B71" s="3">
        <v>504</v>
      </c>
      <c r="C71" s="3" t="str">
        <f>VLOOKUP(B71, '[1]DAR area codes'!A:B,2,FALSE)</f>
        <v>kauai</v>
      </c>
      <c r="D71" s="4">
        <v>504.1</v>
      </c>
      <c r="E71" s="6">
        <v>3682.05</v>
      </c>
      <c r="F71" s="3">
        <v>4079.34</v>
      </c>
      <c r="G71" s="3">
        <v>8943.7000000000007</v>
      </c>
    </row>
    <row r="72" spans="1:7" x14ac:dyDescent="0.2">
      <c r="A72" s="3">
        <v>2021</v>
      </c>
      <c r="B72" s="3">
        <v>505</v>
      </c>
      <c r="C72" s="3" t="str">
        <f>VLOOKUP(B72, '[1]DAR area codes'!A:B,2,FALSE)</f>
        <v>kauai</v>
      </c>
      <c r="D72" s="4">
        <v>727.7</v>
      </c>
      <c r="E72" s="6">
        <v>2026.2</v>
      </c>
      <c r="F72" s="3">
        <v>5596.3</v>
      </c>
      <c r="G72" s="3">
        <v>751.3</v>
      </c>
    </row>
    <row r="73" spans="1:7" x14ac:dyDescent="0.2">
      <c r="A73" s="3">
        <v>2021</v>
      </c>
      <c r="B73" s="3">
        <v>506</v>
      </c>
      <c r="C73" s="3" t="str">
        <f>VLOOKUP(B73, '[1]DAR area codes'!A:B,2,FALSE)</f>
        <v>kauai</v>
      </c>
      <c r="D73" s="4">
        <v>1202</v>
      </c>
      <c r="E73" s="6">
        <v>5211.7</v>
      </c>
      <c r="F73" s="3">
        <v>5209.3</v>
      </c>
      <c r="G73" s="3">
        <v>1464.1399999999999</v>
      </c>
    </row>
    <row r="74" spans="1:7" x14ac:dyDescent="0.2">
      <c r="A74" s="3">
        <v>2021</v>
      </c>
      <c r="B74" s="3">
        <v>507</v>
      </c>
      <c r="C74" s="3" t="str">
        <f>VLOOKUP(B74, '[1]DAR area codes'!A:B,2,FALSE)</f>
        <v>kauai</v>
      </c>
      <c r="E74" s="6"/>
      <c r="F74" s="3">
        <v>0</v>
      </c>
      <c r="G74" s="3">
        <v>0</v>
      </c>
    </row>
    <row r="75" spans="1:7" x14ac:dyDescent="0.2">
      <c r="A75" s="3">
        <v>2021</v>
      </c>
      <c r="B75" s="3">
        <v>508</v>
      </c>
      <c r="C75" s="3" t="str">
        <f>VLOOKUP(B75, '[1]DAR area codes'!A:B,2,FALSE)</f>
        <v>kauai</v>
      </c>
      <c r="E75" s="6"/>
      <c r="F75" s="3">
        <v>0</v>
      </c>
      <c r="G75" s="3">
        <v>10022</v>
      </c>
    </row>
    <row r="76" spans="1:7" x14ac:dyDescent="0.2">
      <c r="A76" s="3">
        <v>2021</v>
      </c>
      <c r="B76" s="3">
        <v>520</v>
      </c>
      <c r="C76" s="3" t="str">
        <f>VLOOKUP(B76, '[1]DAR area codes'!A:B,2,FALSE)</f>
        <v>kauai</v>
      </c>
      <c r="D76" s="4">
        <v>138</v>
      </c>
      <c r="E76" s="6">
        <v>582</v>
      </c>
      <c r="F76" s="3">
        <v>817</v>
      </c>
      <c r="G76" s="3">
        <v>91103.25</v>
      </c>
    </row>
    <row r="77" spans="1:7" x14ac:dyDescent="0.2">
      <c r="A77" s="3">
        <v>2021</v>
      </c>
      <c r="B77" s="3">
        <v>521</v>
      </c>
      <c r="C77" s="3" t="str">
        <f>VLOOKUP(B77, '[1]DAR area codes'!A:B,2,FALSE)</f>
        <v>kauai</v>
      </c>
      <c r="D77" s="4">
        <v>557</v>
      </c>
      <c r="E77" s="6">
        <v>397</v>
      </c>
      <c r="F77" s="3">
        <v>2998</v>
      </c>
      <c r="G77" s="3">
        <v>13932.5</v>
      </c>
    </row>
    <row r="78" spans="1:7" x14ac:dyDescent="0.2">
      <c r="A78" s="3">
        <v>2021</v>
      </c>
      <c r="B78" s="3">
        <v>522</v>
      </c>
      <c r="C78" s="3" t="str">
        <f>VLOOKUP(B78, '[1]DAR area codes'!A:B,2,FALSE)</f>
        <v>kauai</v>
      </c>
      <c r="D78" s="4">
        <v>538</v>
      </c>
      <c r="E78" s="6"/>
      <c r="F78" s="3">
        <v>0</v>
      </c>
      <c r="G78" s="3">
        <v>2769</v>
      </c>
    </row>
    <row r="79" spans="1:7" x14ac:dyDescent="0.2">
      <c r="A79" s="3">
        <v>2021</v>
      </c>
      <c r="B79" s="3">
        <v>523</v>
      </c>
      <c r="C79" s="3" t="str">
        <f>VLOOKUP(B79, '[1]DAR area codes'!A:B,2,FALSE)</f>
        <v>kauai</v>
      </c>
      <c r="E79" s="6"/>
      <c r="F79" s="3">
        <v>0</v>
      </c>
      <c r="G79" s="3">
        <v>31619</v>
      </c>
    </row>
    <row r="80" spans="1:7" x14ac:dyDescent="0.2">
      <c r="A80" s="3">
        <v>2021</v>
      </c>
      <c r="B80" s="3">
        <v>524</v>
      </c>
      <c r="C80" s="3" t="str">
        <f>VLOOKUP(B80, '[1]DAR area codes'!A:B,2,FALSE)</f>
        <v>kauai</v>
      </c>
      <c r="D80" s="4">
        <v>1651</v>
      </c>
      <c r="E80" s="6">
        <v>1620.1</v>
      </c>
      <c r="F80" s="3">
        <v>810</v>
      </c>
      <c r="G80" s="3">
        <v>176201.05</v>
      </c>
    </row>
    <row r="81" spans="1:7" x14ac:dyDescent="0.2">
      <c r="A81" s="3">
        <v>2021</v>
      </c>
      <c r="B81" s="3">
        <v>525</v>
      </c>
      <c r="C81" s="3" t="str">
        <f>VLOOKUP(B81, '[1]DAR area codes'!A:B,2,FALSE)</f>
        <v>kauai</v>
      </c>
      <c r="D81" s="4">
        <v>123</v>
      </c>
      <c r="E81" s="6"/>
      <c r="F81" s="3">
        <v>0</v>
      </c>
      <c r="G81" s="3">
        <v>5477</v>
      </c>
    </row>
    <row r="82" spans="1:7" x14ac:dyDescent="0.2">
      <c r="A82" s="3">
        <v>2021</v>
      </c>
      <c r="B82" s="3">
        <v>526</v>
      </c>
      <c r="C82" s="3" t="str">
        <f>VLOOKUP(B82, '[1]DAR area codes'!A:B,2,FALSE)</f>
        <v>kauai</v>
      </c>
      <c r="E82" s="6"/>
      <c r="F82" s="3">
        <v>0</v>
      </c>
      <c r="G82" s="3">
        <v>1724</v>
      </c>
    </row>
    <row r="83" spans="1:7" x14ac:dyDescent="0.2">
      <c r="A83" s="3">
        <v>2021</v>
      </c>
      <c r="B83" s="3">
        <v>527</v>
      </c>
      <c r="C83" s="3" t="str">
        <f>VLOOKUP(B83, '[1]DAR area codes'!A:B,2,FALSE)</f>
        <v>kauai</v>
      </c>
      <c r="E83" s="6"/>
      <c r="F83" s="3">
        <v>0</v>
      </c>
      <c r="G83" s="3">
        <v>1640</v>
      </c>
    </row>
    <row r="84" spans="1:7" x14ac:dyDescent="0.2">
      <c r="A84" s="3">
        <v>2021</v>
      </c>
      <c r="B84" s="3">
        <v>528</v>
      </c>
      <c r="C84" s="3" t="str">
        <f>VLOOKUP(B84, '[1]DAR area codes'!A:B,2,FALSE)</f>
        <v>kauai</v>
      </c>
      <c r="E84" s="6"/>
      <c r="F84" s="3">
        <v>0</v>
      </c>
      <c r="G84" s="3">
        <v>0</v>
      </c>
    </row>
    <row r="85" spans="1:7" x14ac:dyDescent="0.2">
      <c r="A85" s="3">
        <v>2020</v>
      </c>
      <c r="B85" s="3">
        <v>100</v>
      </c>
      <c r="C85" s="3" t="str">
        <f>VLOOKUP(B85, '[1]DAR area codes'!A:B,2,FALSE)</f>
        <v>hawaii</v>
      </c>
      <c r="D85" s="4">
        <v>1510.2</v>
      </c>
      <c r="E85" s="6"/>
      <c r="F85" s="3">
        <v>504.70000000000005</v>
      </c>
      <c r="G85" s="3">
        <v>17281.2</v>
      </c>
    </row>
    <row r="86" spans="1:7" x14ac:dyDescent="0.2">
      <c r="A86" s="3">
        <v>2020</v>
      </c>
      <c r="B86" s="3">
        <v>101</v>
      </c>
      <c r="C86" s="3" t="str">
        <f>VLOOKUP(B86, '[1]DAR area codes'!A:B,2,FALSE)</f>
        <v>hawaii</v>
      </c>
      <c r="D86" s="4">
        <v>5003.62</v>
      </c>
      <c r="E86" s="6">
        <v>453.88</v>
      </c>
      <c r="F86" s="3">
        <v>45706.47</v>
      </c>
      <c r="G86" s="3">
        <v>33719.32</v>
      </c>
    </row>
    <row r="87" spans="1:7" x14ac:dyDescent="0.2">
      <c r="A87" s="3">
        <v>2020</v>
      </c>
      <c r="B87" s="3">
        <v>102</v>
      </c>
      <c r="C87" s="3" t="str">
        <f>VLOOKUP(B87, '[1]DAR area codes'!A:B,2,FALSE)</f>
        <v>hawaii</v>
      </c>
      <c r="D87" s="4">
        <v>2868</v>
      </c>
      <c r="E87" s="6">
        <v>1317.7</v>
      </c>
      <c r="F87" s="3">
        <v>1055.4299999999998</v>
      </c>
      <c r="G87" s="3">
        <v>19061.900000000001</v>
      </c>
    </row>
    <row r="88" spans="1:7" x14ac:dyDescent="0.2">
      <c r="A88" s="3">
        <v>2020</v>
      </c>
      <c r="B88" s="3">
        <v>103</v>
      </c>
      <c r="C88" s="3" t="str">
        <f>VLOOKUP(B88, '[1]DAR area codes'!A:B,2,FALSE)</f>
        <v>hawaii</v>
      </c>
      <c r="D88" s="4">
        <v>2999.34</v>
      </c>
      <c r="E88" s="6">
        <v>1023.2</v>
      </c>
      <c r="F88" s="3">
        <v>0</v>
      </c>
      <c r="G88" s="3">
        <v>807</v>
      </c>
    </row>
    <row r="89" spans="1:7" x14ac:dyDescent="0.2">
      <c r="A89" s="3">
        <v>2020</v>
      </c>
      <c r="B89" s="3">
        <v>104</v>
      </c>
      <c r="C89" s="3" t="str">
        <f>VLOOKUP(B89, '[1]DAR area codes'!A:B,2,FALSE)</f>
        <v>hawaii</v>
      </c>
      <c r="D89" s="4">
        <v>312.8</v>
      </c>
      <c r="E89" s="6"/>
      <c r="F89" s="3">
        <v>1483</v>
      </c>
      <c r="G89" s="3">
        <v>0</v>
      </c>
    </row>
    <row r="90" spans="1:7" x14ac:dyDescent="0.2">
      <c r="A90" s="3">
        <v>2020</v>
      </c>
      <c r="B90" s="3">
        <v>105</v>
      </c>
      <c r="C90" s="3" t="str">
        <f>VLOOKUP(B90, '[1]DAR area codes'!A:B,2,FALSE)</f>
        <v>hawaii</v>
      </c>
      <c r="D90" s="4">
        <v>3688.3</v>
      </c>
      <c r="E90" s="6">
        <v>846.4</v>
      </c>
      <c r="F90" s="3">
        <v>7570.5699999999988</v>
      </c>
      <c r="G90" s="3">
        <v>14810.4</v>
      </c>
    </row>
    <row r="91" spans="1:7" x14ac:dyDescent="0.2">
      <c r="A91" s="3">
        <v>2020</v>
      </c>
      <c r="B91" s="3">
        <v>106</v>
      </c>
      <c r="C91" s="3" t="str">
        <f>VLOOKUP(B91, '[1]DAR area codes'!A:B,2,FALSE)</f>
        <v>hawaii</v>
      </c>
      <c r="D91" s="4">
        <v>1588.4</v>
      </c>
      <c r="E91" s="6">
        <v>532.5</v>
      </c>
      <c r="F91" s="3">
        <v>5329.34</v>
      </c>
      <c r="G91" s="3">
        <v>19386.2</v>
      </c>
    </row>
    <row r="92" spans="1:7" x14ac:dyDescent="0.2">
      <c r="A92" s="3">
        <v>2020</v>
      </c>
      <c r="B92" s="3">
        <v>107</v>
      </c>
      <c r="C92" s="3" t="str">
        <f>VLOOKUP(B92, '[1]DAR area codes'!A:B,2,FALSE)</f>
        <v>hawaii</v>
      </c>
      <c r="D92" s="4">
        <v>1261.4000000000001</v>
      </c>
      <c r="E92" s="6"/>
      <c r="F92" s="3">
        <v>0</v>
      </c>
      <c r="G92" s="3">
        <v>5748.4</v>
      </c>
    </row>
    <row r="93" spans="1:7" x14ac:dyDescent="0.2">
      <c r="A93" s="3">
        <v>2020</v>
      </c>
      <c r="B93" s="3">
        <v>108</v>
      </c>
      <c r="C93" s="3" t="str">
        <f>VLOOKUP(B93, '[1]DAR area codes'!A:B,2,FALSE)</f>
        <v>hawaii</v>
      </c>
      <c r="D93" s="4">
        <v>398.1</v>
      </c>
      <c r="E93" s="6"/>
      <c r="F93" s="3">
        <v>0</v>
      </c>
      <c r="G93" s="3">
        <v>21597.9</v>
      </c>
    </row>
    <row r="94" spans="1:7" x14ac:dyDescent="0.2">
      <c r="A94" s="3">
        <v>2020</v>
      </c>
      <c r="B94" s="3">
        <v>120</v>
      </c>
      <c r="C94" s="3" t="str">
        <f>VLOOKUP(B94, '[1]DAR area codes'!A:B,2,FALSE)</f>
        <v>hawaii</v>
      </c>
      <c r="E94" s="6"/>
      <c r="F94" s="3">
        <v>320.89999999999998</v>
      </c>
      <c r="G94" s="3">
        <v>22015.8</v>
      </c>
    </row>
    <row r="95" spans="1:7" x14ac:dyDescent="0.2">
      <c r="A95" s="3">
        <v>2020</v>
      </c>
      <c r="B95" s="3">
        <v>121</v>
      </c>
      <c r="C95" s="3" t="str">
        <f>VLOOKUP(B95, '[1]DAR area codes'!A:B,2,FALSE)</f>
        <v>hawaii</v>
      </c>
      <c r="D95" s="4">
        <v>6565.1</v>
      </c>
      <c r="E95" s="6">
        <v>1550.3</v>
      </c>
      <c r="F95" s="3">
        <v>16009.199999999999</v>
      </c>
      <c r="G95" s="3">
        <v>416123.38</v>
      </c>
    </row>
    <row r="96" spans="1:7" x14ac:dyDescent="0.2">
      <c r="A96" s="3">
        <v>2020</v>
      </c>
      <c r="B96" s="3">
        <v>122</v>
      </c>
      <c r="C96" s="3" t="str">
        <f>VLOOKUP(B96, '[1]DAR area codes'!A:B,2,FALSE)</f>
        <v>hawaii</v>
      </c>
      <c r="D96" s="4">
        <v>7292.02</v>
      </c>
      <c r="E96" s="6">
        <v>1878.33</v>
      </c>
      <c r="F96" s="3">
        <v>6201.97</v>
      </c>
      <c r="G96" s="3">
        <v>94100.15</v>
      </c>
    </row>
    <row r="97" spans="1:7" x14ac:dyDescent="0.2">
      <c r="A97" s="3">
        <v>2020</v>
      </c>
      <c r="B97" s="3">
        <v>123</v>
      </c>
      <c r="C97" s="3" t="str">
        <f>VLOOKUP(B97, '[1]DAR area codes'!A:B,2,FALSE)</f>
        <v>hawaii</v>
      </c>
      <c r="E97" s="6"/>
      <c r="F97" s="3">
        <v>0</v>
      </c>
      <c r="G97" s="3">
        <v>1505</v>
      </c>
    </row>
    <row r="98" spans="1:7" x14ac:dyDescent="0.2">
      <c r="A98" s="3">
        <v>2020</v>
      </c>
      <c r="B98" s="3">
        <v>124</v>
      </c>
      <c r="C98" s="3" t="str">
        <f>VLOOKUP(B98, '[1]DAR area codes'!A:B,2,FALSE)</f>
        <v>hawaii</v>
      </c>
      <c r="E98" s="6"/>
      <c r="F98" s="3">
        <v>0</v>
      </c>
      <c r="G98" s="3">
        <v>29767.200000000001</v>
      </c>
    </row>
    <row r="99" spans="1:7" x14ac:dyDescent="0.2">
      <c r="A99" s="3">
        <v>2020</v>
      </c>
      <c r="B99" s="3">
        <v>125</v>
      </c>
      <c r="C99" s="3" t="str">
        <f>VLOOKUP(B99, '[1]DAR area codes'!A:B,2,FALSE)</f>
        <v>hawaii</v>
      </c>
      <c r="D99" s="4">
        <v>2413.14</v>
      </c>
      <c r="E99" s="6"/>
      <c r="F99" s="3">
        <v>368.3</v>
      </c>
      <c r="G99" s="3">
        <v>150413.33000000002</v>
      </c>
    </row>
    <row r="100" spans="1:7" x14ac:dyDescent="0.2">
      <c r="A100" s="3">
        <v>2020</v>
      </c>
      <c r="B100" s="3">
        <v>126</v>
      </c>
      <c r="C100" s="3" t="str">
        <f>VLOOKUP(B100, '[1]DAR area codes'!A:B,2,FALSE)</f>
        <v>hawaii</v>
      </c>
      <c r="D100" s="4">
        <v>745.9</v>
      </c>
      <c r="E100" s="6">
        <v>932.6</v>
      </c>
      <c r="F100" s="3">
        <v>0</v>
      </c>
      <c r="G100" s="3">
        <v>122096.82</v>
      </c>
    </row>
    <row r="101" spans="1:7" x14ac:dyDescent="0.2">
      <c r="A101" s="3">
        <v>2020</v>
      </c>
      <c r="B101" s="3">
        <v>127</v>
      </c>
      <c r="C101" s="3" t="str">
        <f>VLOOKUP(B101, '[1]DAR area codes'!A:B,2,FALSE)</f>
        <v>hawaii</v>
      </c>
      <c r="E101" s="6"/>
      <c r="F101" s="3">
        <v>0</v>
      </c>
      <c r="G101" s="3">
        <v>11549.5</v>
      </c>
    </row>
    <row r="102" spans="1:7" x14ac:dyDescent="0.2">
      <c r="A102" s="3">
        <v>2020</v>
      </c>
      <c r="B102" s="3">
        <v>128</v>
      </c>
      <c r="C102" s="3" t="str">
        <f>VLOOKUP(B102, '[1]DAR area codes'!A:B,2,FALSE)</f>
        <v>hawaii</v>
      </c>
      <c r="D102" s="4">
        <v>2603.4</v>
      </c>
      <c r="E102" s="6">
        <v>1100.5999999999999</v>
      </c>
      <c r="F102" s="3">
        <v>25.1</v>
      </c>
      <c r="G102" s="3">
        <v>81193.3</v>
      </c>
    </row>
    <row r="103" spans="1:7" x14ac:dyDescent="0.2">
      <c r="A103" s="3">
        <v>2020</v>
      </c>
      <c r="B103" s="3">
        <v>300</v>
      </c>
      <c r="C103" s="3" t="str">
        <f>VLOOKUP(B103, '[1]DAR area codes'!A:B,2,FALSE)</f>
        <v>maui</v>
      </c>
      <c r="D103" s="4">
        <v>1049.9000000000001</v>
      </c>
      <c r="E103" s="6">
        <v>1605.25</v>
      </c>
      <c r="F103" s="3">
        <v>45122.8</v>
      </c>
      <c r="G103" s="3">
        <v>346.6</v>
      </c>
    </row>
    <row r="104" spans="1:7" x14ac:dyDescent="0.2">
      <c r="A104" s="3">
        <v>2020</v>
      </c>
      <c r="B104" s="3">
        <v>301</v>
      </c>
      <c r="C104" s="3" t="str">
        <f>VLOOKUP(B104, '[1]DAR area codes'!A:B,2,FALSE)</f>
        <v>maui</v>
      </c>
      <c r="E104" s="6"/>
      <c r="F104" s="3">
        <v>864</v>
      </c>
      <c r="G104" s="3">
        <v>0</v>
      </c>
    </row>
    <row r="105" spans="1:7" x14ac:dyDescent="0.2">
      <c r="A105" s="3">
        <v>2020</v>
      </c>
      <c r="B105" s="3">
        <v>302</v>
      </c>
      <c r="C105" s="3" t="str">
        <f>VLOOKUP(B105, '[1]DAR area codes'!A:B,2,FALSE)</f>
        <v>maui</v>
      </c>
      <c r="D105" s="4">
        <v>924</v>
      </c>
      <c r="E105" s="6"/>
      <c r="F105" s="3">
        <v>4755.5</v>
      </c>
      <c r="G105" s="3">
        <v>297.7</v>
      </c>
    </row>
    <row r="106" spans="1:7" x14ac:dyDescent="0.2">
      <c r="A106" s="3">
        <v>2020</v>
      </c>
      <c r="B106" s="3">
        <v>303</v>
      </c>
      <c r="C106" s="3" t="str">
        <f>VLOOKUP(B106, '[1]DAR area codes'!A:B,2,FALSE)</f>
        <v>maui</v>
      </c>
      <c r="D106" s="4">
        <v>653.5</v>
      </c>
      <c r="E106" s="6"/>
      <c r="F106" s="3">
        <v>286</v>
      </c>
      <c r="G106" s="3">
        <v>420.5</v>
      </c>
    </row>
    <row r="107" spans="1:7" x14ac:dyDescent="0.2">
      <c r="A107" s="3">
        <v>2020</v>
      </c>
      <c r="B107" s="3">
        <v>304</v>
      </c>
      <c r="C107" s="3" t="str">
        <f>VLOOKUP(B107, '[1]DAR area codes'!A:B,2,FALSE)</f>
        <v>maui</v>
      </c>
      <c r="D107" s="4">
        <v>850.05</v>
      </c>
      <c r="E107" s="6"/>
      <c r="F107" s="3">
        <v>0</v>
      </c>
      <c r="G107" s="3">
        <v>230.75</v>
      </c>
    </row>
    <row r="108" spans="1:7" x14ac:dyDescent="0.2">
      <c r="A108" s="3">
        <v>2020</v>
      </c>
      <c r="B108" s="3">
        <v>305</v>
      </c>
      <c r="C108" s="3" t="str">
        <f>VLOOKUP(B108, '[1]DAR area codes'!A:B,2,FALSE)</f>
        <v>maui</v>
      </c>
      <c r="D108" s="4">
        <v>2857.3</v>
      </c>
      <c r="E108" s="6">
        <v>969.5</v>
      </c>
      <c r="F108" s="3">
        <v>1477.7</v>
      </c>
      <c r="G108" s="3">
        <v>1725.05</v>
      </c>
    </row>
    <row r="109" spans="1:7" x14ac:dyDescent="0.2">
      <c r="A109" s="3">
        <v>2020</v>
      </c>
      <c r="B109" s="3">
        <v>306</v>
      </c>
      <c r="C109" s="3" t="str">
        <f>VLOOKUP(B109, '[1]DAR area codes'!A:B,2,FALSE)</f>
        <v>maui</v>
      </c>
      <c r="E109" s="6"/>
      <c r="F109" s="3">
        <v>0</v>
      </c>
      <c r="G109" s="3">
        <v>590</v>
      </c>
    </row>
    <row r="110" spans="1:7" x14ac:dyDescent="0.2">
      <c r="A110" s="3">
        <v>2020</v>
      </c>
      <c r="B110" s="3">
        <v>307</v>
      </c>
      <c r="C110" s="3" t="str">
        <f>VLOOKUP(B110, '[1]DAR area codes'!A:B,2,FALSE)</f>
        <v>maui</v>
      </c>
      <c r="E110" s="6"/>
      <c r="F110" s="3">
        <v>0</v>
      </c>
      <c r="G110" s="3">
        <v>0</v>
      </c>
    </row>
    <row r="111" spans="1:7" x14ac:dyDescent="0.2">
      <c r="A111" s="3">
        <v>2020</v>
      </c>
      <c r="B111" s="3">
        <v>308</v>
      </c>
      <c r="C111" s="3" t="str">
        <f>VLOOKUP(B111, '[1]DAR area codes'!A:B,2,FALSE)</f>
        <v>maui</v>
      </c>
      <c r="D111" s="4">
        <v>404.8</v>
      </c>
      <c r="E111" s="6">
        <v>1470.8</v>
      </c>
      <c r="F111" s="3">
        <v>1023.5</v>
      </c>
      <c r="G111" s="3">
        <v>6146.3</v>
      </c>
    </row>
    <row r="112" spans="1:7" x14ac:dyDescent="0.2">
      <c r="A112" s="3">
        <v>2020</v>
      </c>
      <c r="B112" s="3">
        <v>309</v>
      </c>
      <c r="C112" s="3" t="str">
        <f>VLOOKUP(B112, '[1]DAR area codes'!A:B,2,FALSE)</f>
        <v>maui</v>
      </c>
      <c r="E112" s="6"/>
      <c r="F112" s="3">
        <v>0</v>
      </c>
      <c r="G112" s="3">
        <v>0</v>
      </c>
    </row>
    <row r="113" spans="1:7" x14ac:dyDescent="0.2">
      <c r="A113" s="3">
        <v>2020</v>
      </c>
      <c r="B113" s="3">
        <v>310</v>
      </c>
      <c r="C113" s="3" t="str">
        <f>VLOOKUP(B113, '[1]DAR area codes'!A:B,2,FALSE)</f>
        <v>maui</v>
      </c>
      <c r="D113" s="4">
        <v>1475</v>
      </c>
      <c r="E113" s="6"/>
      <c r="F113" s="3">
        <v>0</v>
      </c>
      <c r="G113" s="3">
        <v>0</v>
      </c>
    </row>
    <row r="114" spans="1:7" x14ac:dyDescent="0.2">
      <c r="A114" s="3">
        <v>2020</v>
      </c>
      <c r="B114" s="3">
        <v>311</v>
      </c>
      <c r="C114" s="3" t="str">
        <f>VLOOKUP(B114, '[1]DAR area codes'!A:B,2,FALSE)</f>
        <v>maui</v>
      </c>
      <c r="D114" s="4">
        <v>315.39999999999998</v>
      </c>
      <c r="E114" s="6"/>
      <c r="F114" s="3">
        <v>0</v>
      </c>
      <c r="G114" s="3">
        <v>0</v>
      </c>
    </row>
    <row r="115" spans="1:7" x14ac:dyDescent="0.2">
      <c r="A115" s="3">
        <v>2020</v>
      </c>
      <c r="B115" s="3">
        <v>312</v>
      </c>
      <c r="C115" s="3" t="str">
        <f>VLOOKUP(B115, '[1]DAR area codes'!A:B,2,FALSE)</f>
        <v>maui</v>
      </c>
      <c r="D115" s="4">
        <v>359</v>
      </c>
      <c r="E115" s="6"/>
      <c r="F115" s="3">
        <v>0</v>
      </c>
      <c r="G115" s="3">
        <v>215</v>
      </c>
    </row>
    <row r="116" spans="1:7" x14ac:dyDescent="0.2">
      <c r="A116" s="3">
        <v>2020</v>
      </c>
      <c r="B116" s="3">
        <v>313</v>
      </c>
      <c r="C116" s="3" t="str">
        <f>VLOOKUP(B116, '[1]DAR area codes'!A:B,2,FALSE)</f>
        <v>maui</v>
      </c>
      <c r="D116" s="4">
        <v>1511.4</v>
      </c>
      <c r="E116" s="6"/>
      <c r="F116" s="3">
        <v>0</v>
      </c>
      <c r="G116" s="3">
        <v>1257.5</v>
      </c>
    </row>
    <row r="117" spans="1:7" x14ac:dyDescent="0.2">
      <c r="A117" s="3">
        <v>2020</v>
      </c>
      <c r="B117" s="3">
        <v>314</v>
      </c>
      <c r="C117" s="3" t="str">
        <f>VLOOKUP(B117, '[1]DAR area codes'!A:B,2,FALSE)</f>
        <v>maui</v>
      </c>
      <c r="E117" s="6"/>
      <c r="F117" s="3">
        <v>0</v>
      </c>
      <c r="G117" s="3">
        <v>0</v>
      </c>
    </row>
    <row r="118" spans="1:7" x14ac:dyDescent="0.2">
      <c r="A118" s="3">
        <v>2020</v>
      </c>
      <c r="B118" s="3">
        <v>320</v>
      </c>
      <c r="C118" s="3" t="str">
        <f>VLOOKUP(B118, '[1]DAR area codes'!A:B,2,FALSE)</f>
        <v>maui</v>
      </c>
      <c r="D118" s="4">
        <v>17310.3</v>
      </c>
      <c r="E118" s="6">
        <v>8185.7</v>
      </c>
      <c r="F118" s="3">
        <v>5411.4</v>
      </c>
      <c r="G118" s="3">
        <v>16165.25</v>
      </c>
    </row>
    <row r="119" spans="1:7" x14ac:dyDescent="0.2">
      <c r="A119" s="3">
        <v>2020</v>
      </c>
      <c r="B119" s="3">
        <v>321</v>
      </c>
      <c r="C119" s="3" t="str">
        <f>VLOOKUP(B119, '[1]DAR area codes'!A:B,2,FALSE)</f>
        <v>maui</v>
      </c>
      <c r="D119" s="4">
        <v>6794.3</v>
      </c>
      <c r="E119" s="6">
        <v>615.29999999999995</v>
      </c>
      <c r="F119" s="3">
        <v>2244</v>
      </c>
      <c r="G119" s="3">
        <v>405</v>
      </c>
    </row>
    <row r="120" spans="1:7" x14ac:dyDescent="0.2">
      <c r="A120" s="3">
        <v>2020</v>
      </c>
      <c r="B120" s="3">
        <v>322</v>
      </c>
      <c r="C120" s="3" t="str">
        <f>VLOOKUP(B120, '[1]DAR area codes'!A:B,2,FALSE)</f>
        <v>maui</v>
      </c>
      <c r="D120" s="4">
        <v>6044.4</v>
      </c>
      <c r="E120" s="6"/>
      <c r="F120" s="3">
        <v>0</v>
      </c>
      <c r="G120" s="3">
        <v>26888.880000000001</v>
      </c>
    </row>
    <row r="121" spans="1:7" x14ac:dyDescent="0.2">
      <c r="A121" s="3">
        <v>2020</v>
      </c>
      <c r="B121" s="3">
        <v>323</v>
      </c>
      <c r="C121" s="3" t="str">
        <f>VLOOKUP(B121, '[1]DAR area codes'!A:B,2,FALSE)</f>
        <v>maui</v>
      </c>
      <c r="D121" s="4">
        <v>1629</v>
      </c>
      <c r="E121" s="6">
        <v>190</v>
      </c>
      <c r="F121" s="3">
        <v>322.8</v>
      </c>
      <c r="G121" s="3">
        <v>63075.1</v>
      </c>
    </row>
    <row r="122" spans="1:7" x14ac:dyDescent="0.2">
      <c r="A122" s="3">
        <v>2020</v>
      </c>
      <c r="B122" s="3">
        <v>324</v>
      </c>
      <c r="C122" s="3" t="str">
        <f>VLOOKUP(B122, '[1]DAR area codes'!A:B,2,FALSE)</f>
        <v>maui</v>
      </c>
      <c r="D122" s="4">
        <v>633.79999999999995</v>
      </c>
      <c r="E122" s="6"/>
      <c r="F122" s="3">
        <v>0</v>
      </c>
      <c r="G122" s="3">
        <v>21102.7</v>
      </c>
    </row>
    <row r="123" spans="1:7" x14ac:dyDescent="0.2">
      <c r="A123" s="3">
        <v>2020</v>
      </c>
      <c r="B123" s="3">
        <v>325</v>
      </c>
      <c r="C123" s="3" t="str">
        <f>VLOOKUP(B123, '[1]DAR area codes'!A:B,2,FALSE)</f>
        <v>maui</v>
      </c>
      <c r="D123" s="4">
        <v>551</v>
      </c>
      <c r="E123" s="6"/>
      <c r="F123" s="3">
        <v>0</v>
      </c>
      <c r="G123" s="3">
        <v>7544</v>
      </c>
    </row>
    <row r="124" spans="1:7" x14ac:dyDescent="0.2">
      <c r="A124" s="3">
        <v>2020</v>
      </c>
      <c r="B124" s="3">
        <v>326</v>
      </c>
      <c r="C124" s="3" t="str">
        <f>VLOOKUP(B124, '[1]DAR area codes'!A:B,2,FALSE)</f>
        <v>maui</v>
      </c>
      <c r="E124" s="6"/>
      <c r="F124" s="3">
        <v>0</v>
      </c>
      <c r="G124" s="3">
        <v>20646.099999999999</v>
      </c>
    </row>
    <row r="125" spans="1:7" x14ac:dyDescent="0.2">
      <c r="A125" s="3">
        <v>2020</v>
      </c>
      <c r="B125" s="3">
        <v>327</v>
      </c>
      <c r="C125" s="3" t="str">
        <f>VLOOKUP(B125, '[1]DAR area codes'!A:B,2,FALSE)</f>
        <v>maui</v>
      </c>
      <c r="D125" s="4">
        <v>11135</v>
      </c>
      <c r="E125" s="6">
        <v>1021.6</v>
      </c>
      <c r="F125" s="3">
        <v>41</v>
      </c>
      <c r="G125" s="3">
        <v>9934.7999999999993</v>
      </c>
    </row>
    <row r="126" spans="1:7" x14ac:dyDescent="0.2">
      <c r="A126" s="3">
        <v>2020</v>
      </c>
      <c r="B126" s="3">
        <v>328</v>
      </c>
      <c r="C126" s="3" t="str">
        <f>VLOOKUP(B126, '[1]DAR area codes'!A:B,2,FALSE)</f>
        <v>maui</v>
      </c>
      <c r="D126" s="4">
        <v>1297</v>
      </c>
      <c r="E126" s="6">
        <v>378.5</v>
      </c>
      <c r="F126" s="3">
        <v>0</v>
      </c>
      <c r="G126" s="3">
        <v>19719</v>
      </c>
    </row>
    <row r="127" spans="1:7" x14ac:dyDescent="0.2">
      <c r="A127" s="3">
        <v>2020</v>
      </c>
      <c r="B127" s="3">
        <v>331</v>
      </c>
      <c r="C127" s="3" t="str">
        <f>VLOOKUP(B127, '[1]DAR area codes'!A:B,2,FALSE)</f>
        <v>maui</v>
      </c>
      <c r="D127" s="4">
        <v>31306.2</v>
      </c>
      <c r="E127" s="6">
        <v>21529.599999999999</v>
      </c>
      <c r="F127" s="3">
        <v>1392.05</v>
      </c>
      <c r="G127" s="3">
        <v>13140.2</v>
      </c>
    </row>
    <row r="128" spans="1:7" x14ac:dyDescent="0.2">
      <c r="A128" s="3">
        <v>2020</v>
      </c>
      <c r="B128" s="3">
        <v>332</v>
      </c>
      <c r="C128" s="3" t="str">
        <f>VLOOKUP(B128, '[1]DAR area codes'!A:B,2,FALSE)</f>
        <v>maui</v>
      </c>
      <c r="D128" s="4">
        <v>208.5</v>
      </c>
      <c r="E128" s="6"/>
      <c r="F128" s="3">
        <v>0</v>
      </c>
      <c r="G128" s="3">
        <v>2300</v>
      </c>
    </row>
    <row r="129" spans="1:7" x14ac:dyDescent="0.2">
      <c r="A129" s="3">
        <v>2020</v>
      </c>
      <c r="B129" s="3">
        <v>333</v>
      </c>
      <c r="C129" s="3" t="str">
        <f>VLOOKUP(B129, '[1]DAR area codes'!A:B,2,FALSE)</f>
        <v>maui</v>
      </c>
      <c r="E129" s="6"/>
      <c r="F129" s="3">
        <v>0</v>
      </c>
      <c r="G129" s="3">
        <v>496.8</v>
      </c>
    </row>
    <row r="130" spans="1:7" x14ac:dyDescent="0.2">
      <c r="A130" s="3">
        <v>2020</v>
      </c>
      <c r="B130" s="3">
        <v>400</v>
      </c>
      <c r="C130" s="3" t="str">
        <f>VLOOKUP(B130, '[1]DAR area codes'!A:B,2,FALSE)</f>
        <v>oahu</v>
      </c>
      <c r="E130" s="6">
        <v>34.06</v>
      </c>
      <c r="F130" s="3">
        <v>5691.79</v>
      </c>
      <c r="G130" s="3">
        <v>115</v>
      </c>
    </row>
    <row r="131" spans="1:7" x14ac:dyDescent="0.2">
      <c r="A131" s="3">
        <v>2020</v>
      </c>
      <c r="B131" s="3">
        <v>401</v>
      </c>
      <c r="C131" s="3" t="str">
        <f>VLOOKUP(B131, '[1]DAR area codes'!A:B,2,FALSE)</f>
        <v>oahu</v>
      </c>
      <c r="D131" s="4">
        <v>134.5</v>
      </c>
      <c r="E131" s="6">
        <v>328.3</v>
      </c>
      <c r="F131" s="3">
        <v>41486.57</v>
      </c>
      <c r="G131" s="3">
        <v>412.34999999999997</v>
      </c>
    </row>
    <row r="132" spans="1:7" x14ac:dyDescent="0.2">
      <c r="A132" s="3">
        <v>2020</v>
      </c>
      <c r="B132" s="3">
        <v>402</v>
      </c>
      <c r="C132" s="3" t="str">
        <f>VLOOKUP(B132, '[1]DAR area codes'!A:B,2,FALSE)</f>
        <v>oahu</v>
      </c>
      <c r="D132" s="4">
        <v>100.3</v>
      </c>
      <c r="E132" s="6">
        <v>518.15</v>
      </c>
      <c r="F132" s="3">
        <v>37485.009999999995</v>
      </c>
      <c r="G132" s="3">
        <v>1160.8</v>
      </c>
    </row>
    <row r="133" spans="1:7" x14ac:dyDescent="0.2">
      <c r="A133" s="3">
        <v>2020</v>
      </c>
      <c r="B133" s="3">
        <v>403</v>
      </c>
      <c r="C133" s="3" t="str">
        <f>VLOOKUP(B133, '[1]DAR area codes'!A:B,2,FALSE)</f>
        <v>oahu</v>
      </c>
      <c r="D133" s="4">
        <v>1518</v>
      </c>
      <c r="E133" s="6">
        <v>3817.32</v>
      </c>
      <c r="F133" s="3">
        <v>102912.20999999998</v>
      </c>
      <c r="G133" s="3">
        <v>5644.8</v>
      </c>
    </row>
    <row r="134" spans="1:7" x14ac:dyDescent="0.2">
      <c r="A134" s="3">
        <v>2020</v>
      </c>
      <c r="B134" s="3">
        <v>404</v>
      </c>
      <c r="C134" s="3" t="str">
        <f>VLOOKUP(B134, '[1]DAR area codes'!A:B,2,FALSE)</f>
        <v>oahu</v>
      </c>
      <c r="D134" s="4">
        <v>1667</v>
      </c>
      <c r="E134" s="6">
        <v>801.55</v>
      </c>
      <c r="F134" s="3">
        <v>52421.710000000006</v>
      </c>
      <c r="G134" s="3">
        <v>134</v>
      </c>
    </row>
    <row r="135" spans="1:7" x14ac:dyDescent="0.2">
      <c r="A135" s="3">
        <v>2020</v>
      </c>
      <c r="B135" s="3">
        <v>405</v>
      </c>
      <c r="C135" s="3" t="str">
        <f>VLOOKUP(B135, '[1]DAR area codes'!A:B,2,FALSE)</f>
        <v>oahu</v>
      </c>
      <c r="D135" s="4">
        <v>403.2</v>
      </c>
      <c r="E135" s="6">
        <v>524.48</v>
      </c>
      <c r="F135" s="3">
        <v>33704.07</v>
      </c>
      <c r="G135" s="3">
        <v>488</v>
      </c>
    </row>
    <row r="136" spans="1:7" x14ac:dyDescent="0.2">
      <c r="A136" s="3">
        <v>2020</v>
      </c>
      <c r="B136" s="3">
        <v>406</v>
      </c>
      <c r="C136" s="3" t="str">
        <f>VLOOKUP(B136, '[1]DAR area codes'!A:B,2,FALSE)</f>
        <v>oahu</v>
      </c>
      <c r="E136" s="6">
        <v>418.24</v>
      </c>
      <c r="F136" s="3">
        <v>26666.019999999997</v>
      </c>
      <c r="G136" s="3">
        <v>0</v>
      </c>
    </row>
    <row r="137" spans="1:7" x14ac:dyDescent="0.2">
      <c r="A137" s="3">
        <v>2020</v>
      </c>
      <c r="B137" s="3">
        <v>407</v>
      </c>
      <c r="C137" s="3" t="str">
        <f>VLOOKUP(B137, '[1]DAR area codes'!A:B,2,FALSE)</f>
        <v>oahu</v>
      </c>
      <c r="E137" s="6">
        <v>1021.36</v>
      </c>
      <c r="F137" s="3">
        <v>32112.770000000004</v>
      </c>
      <c r="G137" s="3">
        <v>0</v>
      </c>
    </row>
    <row r="138" spans="1:7" x14ac:dyDescent="0.2">
      <c r="A138" s="3">
        <v>2020</v>
      </c>
      <c r="B138" s="3">
        <v>408</v>
      </c>
      <c r="C138" s="3" t="str">
        <f>VLOOKUP(B138, '[1]DAR area codes'!A:B,2,FALSE)</f>
        <v>oahu</v>
      </c>
      <c r="E138" s="6">
        <v>131.9</v>
      </c>
      <c r="F138" s="3">
        <v>1618.95</v>
      </c>
      <c r="G138" s="3">
        <v>0</v>
      </c>
    </row>
    <row r="139" spans="1:7" x14ac:dyDescent="0.2">
      <c r="A139" s="3">
        <v>2020</v>
      </c>
      <c r="B139" s="3">
        <v>409</v>
      </c>
      <c r="C139" s="3" t="str">
        <f>VLOOKUP(B139, '[1]DAR area codes'!A:B,2,FALSE)</f>
        <v>oahu</v>
      </c>
      <c r="D139" s="4">
        <v>321</v>
      </c>
      <c r="E139" s="6">
        <v>644.54999999999995</v>
      </c>
      <c r="F139" s="3">
        <v>12038.03</v>
      </c>
      <c r="G139" s="3">
        <v>1029</v>
      </c>
    </row>
    <row r="140" spans="1:7" x14ac:dyDescent="0.2">
      <c r="A140" s="3">
        <v>2020</v>
      </c>
      <c r="B140" s="3">
        <v>420</v>
      </c>
      <c r="C140" s="3" t="str">
        <f>VLOOKUP(B140, '[1]DAR area codes'!A:B,2,FALSE)</f>
        <v>oahu</v>
      </c>
      <c r="D140" s="4">
        <v>221.5</v>
      </c>
      <c r="E140" s="6">
        <v>203.5</v>
      </c>
      <c r="F140" s="3">
        <v>0</v>
      </c>
      <c r="G140" s="3">
        <v>4422</v>
      </c>
    </row>
    <row r="141" spans="1:7" x14ac:dyDescent="0.2">
      <c r="A141" s="3">
        <v>2020</v>
      </c>
      <c r="B141" s="3">
        <v>421</v>
      </c>
      <c r="C141" s="3" t="str">
        <f>VLOOKUP(B141, '[1]DAR area codes'!A:B,2,FALSE)</f>
        <v>oahu</v>
      </c>
      <c r="D141" s="4">
        <v>124</v>
      </c>
      <c r="E141" s="6"/>
      <c r="F141" s="3">
        <v>232.5</v>
      </c>
      <c r="G141" s="3">
        <v>33496.6</v>
      </c>
    </row>
    <row r="142" spans="1:7" x14ac:dyDescent="0.2">
      <c r="A142" s="3">
        <v>2020</v>
      </c>
      <c r="B142" s="3">
        <v>422</v>
      </c>
      <c r="C142" s="3" t="str">
        <f>VLOOKUP(B142, '[1]DAR area codes'!A:B,2,FALSE)</f>
        <v>oahu</v>
      </c>
      <c r="D142" s="4">
        <v>58</v>
      </c>
      <c r="E142" s="6"/>
      <c r="F142" s="3">
        <v>334.85</v>
      </c>
      <c r="G142" s="3">
        <v>35813.5</v>
      </c>
    </row>
    <row r="143" spans="1:7" x14ac:dyDescent="0.2">
      <c r="A143" s="3">
        <v>2020</v>
      </c>
      <c r="B143" s="3">
        <v>423</v>
      </c>
      <c r="C143" s="3" t="str">
        <f>VLOOKUP(B143, '[1]DAR area codes'!A:B,2,FALSE)</f>
        <v>oahu</v>
      </c>
      <c r="D143" s="4">
        <v>1361.1</v>
      </c>
      <c r="E143" s="6">
        <v>1086.43</v>
      </c>
      <c r="F143" s="3">
        <v>7122.19</v>
      </c>
      <c r="G143" s="3">
        <v>76172.53</v>
      </c>
    </row>
    <row r="144" spans="1:7" x14ac:dyDescent="0.2">
      <c r="A144" s="3">
        <v>2020</v>
      </c>
      <c r="B144" s="3">
        <v>424</v>
      </c>
      <c r="C144" s="3" t="str">
        <f>VLOOKUP(B144, '[1]DAR area codes'!A:B,2,FALSE)</f>
        <v>oahu</v>
      </c>
      <c r="E144" s="6"/>
      <c r="F144" s="3">
        <v>5982.94</v>
      </c>
      <c r="G144" s="3">
        <v>45502.83</v>
      </c>
    </row>
    <row r="145" spans="1:7" x14ac:dyDescent="0.2">
      <c r="A145" s="3">
        <v>2020</v>
      </c>
      <c r="B145" s="3">
        <v>425</v>
      </c>
      <c r="C145" s="3" t="str">
        <f>VLOOKUP(B145, '[1]DAR area codes'!A:B,2,FALSE)</f>
        <v>oahu</v>
      </c>
      <c r="E145" s="6"/>
      <c r="F145" s="3">
        <v>0</v>
      </c>
      <c r="G145" s="3">
        <v>55180.85</v>
      </c>
    </row>
    <row r="146" spans="1:7" x14ac:dyDescent="0.2">
      <c r="A146" s="3">
        <v>2020</v>
      </c>
      <c r="B146" s="3">
        <v>426</v>
      </c>
      <c r="C146" s="3" t="str">
        <f>VLOOKUP(B146, '[1]DAR area codes'!A:B,2,FALSE)</f>
        <v>oahu</v>
      </c>
      <c r="E146" s="6"/>
      <c r="F146" s="3">
        <v>0</v>
      </c>
      <c r="G146" s="3">
        <v>49977.59</v>
      </c>
    </row>
    <row r="147" spans="1:7" x14ac:dyDescent="0.2">
      <c r="A147" s="3">
        <v>2020</v>
      </c>
      <c r="B147" s="3">
        <v>427</v>
      </c>
      <c r="C147" s="3" t="str">
        <f>VLOOKUP(B147, '[1]DAR area codes'!A:B,2,FALSE)</f>
        <v>oahu</v>
      </c>
      <c r="E147" s="6">
        <v>301.5</v>
      </c>
      <c r="F147" s="3">
        <v>710.5</v>
      </c>
      <c r="G147" s="3">
        <v>65009.5</v>
      </c>
    </row>
    <row r="148" spans="1:7" x14ac:dyDescent="0.2">
      <c r="A148" s="3">
        <v>2020</v>
      </c>
      <c r="B148" s="3">
        <v>428</v>
      </c>
      <c r="C148" s="3" t="str">
        <f>VLOOKUP(B148, '[1]DAR area codes'!A:B,2,FALSE)</f>
        <v>oahu</v>
      </c>
      <c r="E148" s="6"/>
      <c r="F148" s="3">
        <v>0</v>
      </c>
      <c r="G148" s="3">
        <v>13343</v>
      </c>
    </row>
    <row r="149" spans="1:7" x14ac:dyDescent="0.2">
      <c r="A149" s="3">
        <v>2020</v>
      </c>
      <c r="B149" s="3">
        <v>429</v>
      </c>
      <c r="C149" s="3" t="str">
        <f>VLOOKUP(B149, '[1]DAR area codes'!A:B,2,FALSE)</f>
        <v>oahu</v>
      </c>
      <c r="D149" s="4">
        <v>537.5</v>
      </c>
      <c r="E149" s="6">
        <v>1023.9</v>
      </c>
      <c r="F149" s="3">
        <v>1396.62</v>
      </c>
      <c r="G149" s="3">
        <v>2048.6</v>
      </c>
    </row>
    <row r="150" spans="1:7" x14ac:dyDescent="0.2">
      <c r="A150" s="3">
        <v>2020</v>
      </c>
      <c r="B150" s="3">
        <v>500</v>
      </c>
      <c r="C150" s="3" t="str">
        <f>VLOOKUP(B150, '[1]DAR area codes'!A:B,2,FALSE)</f>
        <v>kauai</v>
      </c>
      <c r="D150" s="4">
        <v>1002.3</v>
      </c>
      <c r="E150" s="6">
        <v>3105</v>
      </c>
      <c r="F150" s="3">
        <v>28485.25</v>
      </c>
      <c r="G150" s="3">
        <v>1847</v>
      </c>
    </row>
    <row r="151" spans="1:7" x14ac:dyDescent="0.2">
      <c r="A151" s="3">
        <v>2020</v>
      </c>
      <c r="B151" s="3">
        <v>501</v>
      </c>
      <c r="C151" s="3" t="str">
        <f>VLOOKUP(B151, '[1]DAR area codes'!A:B,2,FALSE)</f>
        <v>kauai</v>
      </c>
      <c r="D151" s="4">
        <v>3029.1</v>
      </c>
      <c r="E151" s="6">
        <v>1991.9</v>
      </c>
      <c r="F151" s="3">
        <v>19973.2</v>
      </c>
      <c r="G151" s="3">
        <v>875</v>
      </c>
    </row>
    <row r="152" spans="1:7" x14ac:dyDescent="0.2">
      <c r="A152" s="3">
        <v>2020</v>
      </c>
      <c r="B152" s="3">
        <v>502</v>
      </c>
      <c r="C152" s="3" t="str">
        <f>VLOOKUP(B152, '[1]DAR area codes'!A:B,2,FALSE)</f>
        <v>kauai</v>
      </c>
      <c r="E152" s="6"/>
      <c r="F152" s="3">
        <v>0</v>
      </c>
      <c r="G152" s="3">
        <v>0</v>
      </c>
    </row>
    <row r="153" spans="1:7" x14ac:dyDescent="0.2">
      <c r="A153" s="3">
        <v>2020</v>
      </c>
      <c r="B153" s="3">
        <v>503</v>
      </c>
      <c r="C153" s="3" t="str">
        <f>VLOOKUP(B153, '[1]DAR area codes'!A:B,2,FALSE)</f>
        <v>kauai</v>
      </c>
      <c r="D153" s="4">
        <v>962.5</v>
      </c>
      <c r="E153" s="6">
        <v>1247</v>
      </c>
      <c r="F153" s="3">
        <v>1272</v>
      </c>
      <c r="G153" s="3">
        <v>789</v>
      </c>
    </row>
    <row r="154" spans="1:7" x14ac:dyDescent="0.2">
      <c r="A154" s="3">
        <v>2020</v>
      </c>
      <c r="B154" s="3">
        <v>504</v>
      </c>
      <c r="C154" s="3" t="str">
        <f>VLOOKUP(B154, '[1]DAR area codes'!A:B,2,FALSE)</f>
        <v>kauai</v>
      </c>
      <c r="D154" s="4">
        <v>2832.9</v>
      </c>
      <c r="E154" s="6">
        <v>2232.1999999999998</v>
      </c>
      <c r="F154" s="3">
        <v>20970.319999999996</v>
      </c>
      <c r="G154" s="3">
        <v>9059</v>
      </c>
    </row>
    <row r="155" spans="1:7" x14ac:dyDescent="0.2">
      <c r="A155" s="3">
        <v>2020</v>
      </c>
      <c r="B155" s="3">
        <v>505</v>
      </c>
      <c r="C155" s="3" t="str">
        <f>VLOOKUP(B155, '[1]DAR area codes'!A:B,2,FALSE)</f>
        <v>kauai</v>
      </c>
      <c r="D155" s="4">
        <v>502.5</v>
      </c>
      <c r="E155" s="6">
        <v>2054.4</v>
      </c>
      <c r="F155" s="3">
        <v>25080.65</v>
      </c>
      <c r="G155" s="3">
        <v>765.5</v>
      </c>
    </row>
    <row r="156" spans="1:7" x14ac:dyDescent="0.2">
      <c r="A156" s="3">
        <v>2020</v>
      </c>
      <c r="B156" s="3">
        <v>506</v>
      </c>
      <c r="C156" s="3" t="str">
        <f>VLOOKUP(B156, '[1]DAR area codes'!A:B,2,FALSE)</f>
        <v>kauai</v>
      </c>
      <c r="D156" s="4">
        <v>3085</v>
      </c>
      <c r="E156" s="6">
        <v>4881.5</v>
      </c>
      <c r="F156" s="3">
        <v>4513.1500000000005</v>
      </c>
      <c r="G156" s="3">
        <v>287</v>
      </c>
    </row>
    <row r="157" spans="1:7" x14ac:dyDescent="0.2">
      <c r="A157" s="3">
        <v>2020</v>
      </c>
      <c r="B157" s="3">
        <v>507</v>
      </c>
      <c r="C157" s="3" t="str">
        <f>VLOOKUP(B157, '[1]DAR area codes'!A:B,2,FALSE)</f>
        <v>kauai</v>
      </c>
      <c r="E157" s="6"/>
      <c r="F157" s="3">
        <v>0</v>
      </c>
      <c r="G157" s="3">
        <v>0</v>
      </c>
    </row>
    <row r="158" spans="1:7" x14ac:dyDescent="0.2">
      <c r="A158" s="3">
        <v>2020</v>
      </c>
      <c r="B158" s="3">
        <v>508</v>
      </c>
      <c r="C158" s="3" t="str">
        <f>VLOOKUP(B158, '[1]DAR area codes'!A:B,2,FALSE)</f>
        <v>kauai</v>
      </c>
      <c r="E158" s="6">
        <v>514</v>
      </c>
      <c r="F158" s="3">
        <v>0</v>
      </c>
      <c r="G158" s="3">
        <v>18490</v>
      </c>
    </row>
    <row r="159" spans="1:7" x14ac:dyDescent="0.2">
      <c r="A159" s="3">
        <v>2020</v>
      </c>
      <c r="B159" s="3">
        <v>520</v>
      </c>
      <c r="C159" s="3" t="str">
        <f>VLOOKUP(B159, '[1]DAR area codes'!A:B,2,FALSE)</f>
        <v>kauai</v>
      </c>
      <c r="D159" s="4">
        <v>252.5</v>
      </c>
      <c r="E159" s="6">
        <v>841</v>
      </c>
      <c r="F159" s="3">
        <v>1098</v>
      </c>
      <c r="G159" s="3">
        <v>134434.29999999999</v>
      </c>
    </row>
    <row r="160" spans="1:7" x14ac:dyDescent="0.2">
      <c r="A160" s="3">
        <v>2020</v>
      </c>
      <c r="B160" s="3">
        <v>521</v>
      </c>
      <c r="C160" s="3" t="str">
        <f>VLOOKUP(B160, '[1]DAR area codes'!A:B,2,FALSE)</f>
        <v>kauai</v>
      </c>
      <c r="D160" s="4">
        <v>1230.5</v>
      </c>
      <c r="E160" s="6">
        <v>1056</v>
      </c>
      <c r="F160" s="3">
        <v>0</v>
      </c>
      <c r="G160" s="3">
        <v>17197.3</v>
      </c>
    </row>
    <row r="161" spans="1:7" x14ac:dyDescent="0.2">
      <c r="A161" s="3">
        <v>2020</v>
      </c>
      <c r="B161" s="3">
        <v>522</v>
      </c>
      <c r="C161" s="3" t="str">
        <f>VLOOKUP(B161, '[1]DAR area codes'!A:B,2,FALSE)</f>
        <v>kauai</v>
      </c>
      <c r="E161" s="6"/>
      <c r="F161" s="3">
        <v>0</v>
      </c>
      <c r="G161" s="3">
        <v>2802</v>
      </c>
    </row>
    <row r="162" spans="1:7" x14ac:dyDescent="0.2">
      <c r="A162" s="3">
        <v>2020</v>
      </c>
      <c r="B162" s="3">
        <v>523</v>
      </c>
      <c r="C162" s="3" t="str">
        <f>VLOOKUP(B162, '[1]DAR area codes'!A:B,2,FALSE)</f>
        <v>kauai</v>
      </c>
      <c r="D162" s="4">
        <v>1218</v>
      </c>
      <c r="E162" s="6"/>
      <c r="F162" s="3">
        <v>0</v>
      </c>
      <c r="G162" s="3">
        <v>27717</v>
      </c>
    </row>
    <row r="163" spans="1:7" x14ac:dyDescent="0.2">
      <c r="A163" s="3">
        <v>2020</v>
      </c>
      <c r="B163" s="3">
        <v>524</v>
      </c>
      <c r="C163" s="3" t="str">
        <f>VLOOKUP(B163, '[1]DAR area codes'!A:B,2,FALSE)</f>
        <v>kauai</v>
      </c>
      <c r="D163" s="4">
        <v>841.9</v>
      </c>
      <c r="E163" s="6">
        <v>1938.2</v>
      </c>
      <c r="F163" s="3">
        <v>1285</v>
      </c>
      <c r="G163" s="3">
        <v>79361.2</v>
      </c>
    </row>
    <row r="164" spans="1:7" x14ac:dyDescent="0.2">
      <c r="A164" s="3">
        <v>2020</v>
      </c>
      <c r="B164" s="3">
        <v>525</v>
      </c>
      <c r="C164" s="3" t="str">
        <f>VLOOKUP(B164, '[1]DAR area codes'!A:B,2,FALSE)</f>
        <v>kauai</v>
      </c>
      <c r="D164" s="4">
        <v>1164.5</v>
      </c>
      <c r="E164" s="6">
        <v>730</v>
      </c>
      <c r="F164" s="3">
        <v>0</v>
      </c>
      <c r="G164" s="3">
        <v>8038</v>
      </c>
    </row>
    <row r="165" spans="1:7" x14ac:dyDescent="0.2">
      <c r="A165" s="3">
        <v>2020</v>
      </c>
      <c r="B165" s="3">
        <v>526</v>
      </c>
      <c r="C165" s="3" t="str">
        <f>VLOOKUP(B165, '[1]DAR area codes'!A:B,2,FALSE)</f>
        <v>kauai</v>
      </c>
      <c r="D165" s="4">
        <v>860</v>
      </c>
      <c r="E165" s="6"/>
      <c r="F165" s="3">
        <v>0</v>
      </c>
      <c r="G165" s="3">
        <v>591.5</v>
      </c>
    </row>
    <row r="166" spans="1:7" x14ac:dyDescent="0.2">
      <c r="A166" s="3">
        <v>2020</v>
      </c>
      <c r="B166" s="3">
        <v>527</v>
      </c>
      <c r="C166" s="3" t="str">
        <f>VLOOKUP(B166, '[1]DAR area codes'!A:B,2,FALSE)</f>
        <v>kauai</v>
      </c>
      <c r="E166" s="6"/>
      <c r="F166" s="3">
        <v>0</v>
      </c>
      <c r="G166" s="3">
        <v>1945</v>
      </c>
    </row>
    <row r="167" spans="1:7" x14ac:dyDescent="0.2">
      <c r="A167" s="3">
        <v>2020</v>
      </c>
      <c r="B167" s="3">
        <v>528</v>
      </c>
      <c r="C167" s="3" t="str">
        <f>VLOOKUP(B167, '[1]DAR area codes'!A:B,2,FALSE)</f>
        <v>kauai</v>
      </c>
      <c r="E167" s="6"/>
      <c r="F167" s="3">
        <v>0</v>
      </c>
      <c r="G167" s="3">
        <v>3889</v>
      </c>
    </row>
    <row r="168" spans="1:7" x14ac:dyDescent="0.2">
      <c r="A168" s="3">
        <v>2019</v>
      </c>
      <c r="B168" s="3">
        <v>100</v>
      </c>
      <c r="C168" s="3" t="str">
        <f>VLOOKUP(B168, '[1]DAR area codes'!A:B,2,FALSE)</f>
        <v>hawaii</v>
      </c>
      <c r="D168" s="4">
        <v>1475.25</v>
      </c>
      <c r="E168" s="6">
        <v>196.2</v>
      </c>
      <c r="F168" s="3">
        <v>2636.2999999999997</v>
      </c>
      <c r="G168" s="3">
        <v>58573.85</v>
      </c>
    </row>
    <row r="169" spans="1:7" x14ac:dyDescent="0.2">
      <c r="A169" s="3">
        <v>2019</v>
      </c>
      <c r="B169" s="3">
        <v>101</v>
      </c>
      <c r="C169" s="3" t="str">
        <f>VLOOKUP(B169, '[1]DAR area codes'!A:B,2,FALSE)</f>
        <v>hawaii</v>
      </c>
      <c r="D169" s="4">
        <v>3467.4</v>
      </c>
      <c r="E169" s="6">
        <v>923.9</v>
      </c>
      <c r="F169" s="3">
        <v>88789.59</v>
      </c>
      <c r="G169" s="3">
        <v>71140.100000000006</v>
      </c>
    </row>
    <row r="170" spans="1:7" x14ac:dyDescent="0.2">
      <c r="A170" s="3">
        <v>2019</v>
      </c>
      <c r="B170" s="3">
        <v>102</v>
      </c>
      <c r="C170" s="3" t="str">
        <f>VLOOKUP(B170, '[1]DAR area codes'!A:B,2,FALSE)</f>
        <v>hawaii</v>
      </c>
      <c r="D170" s="4">
        <v>1859.49</v>
      </c>
      <c r="E170" s="6">
        <v>1381</v>
      </c>
      <c r="F170" s="3">
        <v>3909.55</v>
      </c>
      <c r="G170" s="3">
        <v>24228.440000000002</v>
      </c>
    </row>
    <row r="171" spans="1:7" x14ac:dyDescent="0.2">
      <c r="A171" s="3">
        <v>2019</v>
      </c>
      <c r="B171" s="3">
        <v>103</v>
      </c>
      <c r="C171" s="3" t="str">
        <f>VLOOKUP(B171, '[1]DAR area codes'!A:B,2,FALSE)</f>
        <v>hawaii</v>
      </c>
      <c r="E171" s="6"/>
      <c r="F171" s="3">
        <v>0</v>
      </c>
      <c r="G171" s="3">
        <v>2575.5</v>
      </c>
    </row>
    <row r="172" spans="1:7" x14ac:dyDescent="0.2">
      <c r="A172" s="3">
        <v>2019</v>
      </c>
      <c r="B172" s="3">
        <v>104</v>
      </c>
      <c r="C172" s="3" t="str">
        <f>VLOOKUP(B172, '[1]DAR area codes'!A:B,2,FALSE)</f>
        <v>hawaii</v>
      </c>
      <c r="D172" s="4">
        <v>1195.9000000000001</v>
      </c>
      <c r="E172" s="6"/>
      <c r="F172" s="3">
        <v>1892.2199999999998</v>
      </c>
      <c r="G172" s="3">
        <v>92.3</v>
      </c>
    </row>
    <row r="173" spans="1:7" x14ac:dyDescent="0.2">
      <c r="A173" s="3">
        <v>2019</v>
      </c>
      <c r="B173" s="3">
        <v>105</v>
      </c>
      <c r="C173" s="3" t="str">
        <f>VLOOKUP(B173, '[1]DAR area codes'!A:B,2,FALSE)</f>
        <v>hawaii</v>
      </c>
      <c r="D173" s="4">
        <v>4676.7</v>
      </c>
      <c r="E173" s="6">
        <v>536.70000000000005</v>
      </c>
      <c r="F173" s="3">
        <v>4257.3999999999996</v>
      </c>
      <c r="G173" s="3">
        <v>14255.7</v>
      </c>
    </row>
    <row r="174" spans="1:7" x14ac:dyDescent="0.2">
      <c r="A174" s="3">
        <v>2019</v>
      </c>
      <c r="B174" s="3">
        <v>106</v>
      </c>
      <c r="C174" s="3" t="str">
        <f>VLOOKUP(B174, '[1]DAR area codes'!A:B,2,FALSE)</f>
        <v>hawaii</v>
      </c>
      <c r="D174" s="4">
        <v>2373.6999999999998</v>
      </c>
      <c r="E174" s="6">
        <v>634.5</v>
      </c>
      <c r="F174" s="3">
        <v>9149.4499999999989</v>
      </c>
      <c r="G174" s="3">
        <v>34311.199999999997</v>
      </c>
    </row>
    <row r="175" spans="1:7" x14ac:dyDescent="0.2">
      <c r="A175" s="3">
        <v>2019</v>
      </c>
      <c r="B175" s="3">
        <v>107</v>
      </c>
      <c r="C175" s="3" t="str">
        <f>VLOOKUP(B175, '[1]DAR area codes'!A:B,2,FALSE)</f>
        <v>hawaii</v>
      </c>
      <c r="D175" s="4">
        <v>3594.8</v>
      </c>
      <c r="E175" s="6"/>
      <c r="F175" s="3">
        <v>605.20000000000005</v>
      </c>
      <c r="G175" s="3">
        <v>21866.699999999997</v>
      </c>
    </row>
    <row r="176" spans="1:7" x14ac:dyDescent="0.2">
      <c r="A176" s="3">
        <v>2019</v>
      </c>
      <c r="B176" s="3">
        <v>108</v>
      </c>
      <c r="C176" s="3" t="str">
        <f>VLOOKUP(B176, '[1]DAR area codes'!A:B,2,FALSE)</f>
        <v>hawaii</v>
      </c>
      <c r="D176" s="4">
        <v>4070.7</v>
      </c>
      <c r="E176" s="6">
        <v>1572.9</v>
      </c>
      <c r="F176" s="3">
        <v>769.99999999999989</v>
      </c>
      <c r="G176" s="3">
        <v>44831.8</v>
      </c>
    </row>
    <row r="177" spans="1:7" x14ac:dyDescent="0.2">
      <c r="A177" s="3">
        <v>2019</v>
      </c>
      <c r="B177" s="3">
        <v>120</v>
      </c>
      <c r="C177" s="3" t="str">
        <f>VLOOKUP(B177, '[1]DAR area codes'!A:B,2,FALSE)</f>
        <v>hawaii</v>
      </c>
      <c r="D177" s="4">
        <v>2605.9</v>
      </c>
      <c r="E177" s="6">
        <v>896.8</v>
      </c>
      <c r="F177" s="3">
        <v>1025.5999999999999</v>
      </c>
      <c r="G177" s="3">
        <v>42259.92</v>
      </c>
    </row>
    <row r="178" spans="1:7" x14ac:dyDescent="0.2">
      <c r="A178" s="3">
        <v>2019</v>
      </c>
      <c r="B178" s="3">
        <v>121</v>
      </c>
      <c r="C178" s="3" t="str">
        <f>VLOOKUP(B178, '[1]DAR area codes'!A:B,2,FALSE)</f>
        <v>hawaii</v>
      </c>
      <c r="D178" s="4">
        <v>8802.3700000000008</v>
      </c>
      <c r="E178" s="6">
        <v>2425.5</v>
      </c>
      <c r="F178" s="3">
        <v>13489.02</v>
      </c>
      <c r="G178" s="3">
        <v>662806.89</v>
      </c>
    </row>
    <row r="179" spans="1:7" x14ac:dyDescent="0.2">
      <c r="A179" s="3">
        <v>2019</v>
      </c>
      <c r="B179" s="3">
        <v>122</v>
      </c>
      <c r="C179" s="3" t="str">
        <f>VLOOKUP(B179, '[1]DAR area codes'!A:B,2,FALSE)</f>
        <v>hawaii</v>
      </c>
      <c r="D179" s="4">
        <v>9184.7000000000007</v>
      </c>
      <c r="E179" s="6">
        <v>2946.1</v>
      </c>
      <c r="F179" s="3">
        <v>710.6</v>
      </c>
      <c r="G179" s="3">
        <v>118109.65</v>
      </c>
    </row>
    <row r="180" spans="1:7" x14ac:dyDescent="0.2">
      <c r="A180" s="3">
        <v>2019</v>
      </c>
      <c r="B180" s="3">
        <v>123</v>
      </c>
      <c r="C180" s="3" t="str">
        <f>VLOOKUP(B180, '[1]DAR area codes'!A:B,2,FALSE)</f>
        <v>hawaii</v>
      </c>
      <c r="E180" s="6"/>
      <c r="F180" s="3">
        <v>0</v>
      </c>
      <c r="G180" s="3">
        <v>3394.5</v>
      </c>
    </row>
    <row r="181" spans="1:7" x14ac:dyDescent="0.2">
      <c r="A181" s="3">
        <v>2019</v>
      </c>
      <c r="B181" s="3">
        <v>124</v>
      </c>
      <c r="C181" s="3" t="str">
        <f>VLOOKUP(B181, '[1]DAR area codes'!A:B,2,FALSE)</f>
        <v>hawaii</v>
      </c>
      <c r="E181" s="6"/>
      <c r="F181" s="3">
        <v>0</v>
      </c>
      <c r="G181" s="3">
        <v>33465.83</v>
      </c>
    </row>
    <row r="182" spans="1:7" x14ac:dyDescent="0.2">
      <c r="A182" s="3">
        <v>2019</v>
      </c>
      <c r="B182" s="3">
        <v>125</v>
      </c>
      <c r="C182" s="3" t="str">
        <f>VLOOKUP(B182, '[1]DAR area codes'!A:B,2,FALSE)</f>
        <v>hawaii</v>
      </c>
      <c r="D182" s="4">
        <v>2176.0100000000002</v>
      </c>
      <c r="E182" s="6">
        <v>1079.2</v>
      </c>
      <c r="F182" s="3">
        <v>1197.3000000000002</v>
      </c>
      <c r="G182" s="3">
        <v>188834.31</v>
      </c>
    </row>
    <row r="183" spans="1:7" x14ac:dyDescent="0.2">
      <c r="A183" s="3">
        <v>2019</v>
      </c>
      <c r="B183" s="3">
        <v>126</v>
      </c>
      <c r="C183" s="3" t="str">
        <f>VLOOKUP(B183, '[1]DAR area codes'!A:B,2,FALSE)</f>
        <v>hawaii</v>
      </c>
      <c r="D183" s="4">
        <v>671.63</v>
      </c>
      <c r="E183" s="6">
        <v>921.4</v>
      </c>
      <c r="F183" s="3">
        <v>118.6</v>
      </c>
      <c r="G183" s="3">
        <v>88082.58</v>
      </c>
    </row>
    <row r="184" spans="1:7" x14ac:dyDescent="0.2">
      <c r="A184" s="3">
        <v>2019</v>
      </c>
      <c r="B184" s="3">
        <v>127</v>
      </c>
      <c r="C184" s="3" t="str">
        <f>VLOOKUP(B184, '[1]DAR area codes'!A:B,2,FALSE)</f>
        <v>hawaii</v>
      </c>
      <c r="D184" s="4">
        <v>733.5</v>
      </c>
      <c r="E184" s="6">
        <v>100.1</v>
      </c>
      <c r="F184" s="3">
        <v>0</v>
      </c>
      <c r="G184" s="3">
        <v>17529</v>
      </c>
    </row>
    <row r="185" spans="1:7" x14ac:dyDescent="0.2">
      <c r="A185" s="3">
        <v>2019</v>
      </c>
      <c r="B185" s="3">
        <v>128</v>
      </c>
      <c r="C185" s="3" t="str">
        <f>VLOOKUP(B185, '[1]DAR area codes'!A:B,2,FALSE)</f>
        <v>hawaii</v>
      </c>
      <c r="D185" s="4">
        <v>2375.4</v>
      </c>
      <c r="E185" s="6">
        <v>961.8</v>
      </c>
      <c r="F185" s="3">
        <v>0</v>
      </c>
      <c r="G185" s="3">
        <v>56225.14</v>
      </c>
    </row>
    <row r="186" spans="1:7" x14ac:dyDescent="0.2">
      <c r="A186" s="3">
        <v>2019</v>
      </c>
      <c r="B186" s="3">
        <v>300</v>
      </c>
      <c r="C186" s="3" t="str">
        <f>VLOOKUP(B186, '[1]DAR area codes'!A:B,2,FALSE)</f>
        <v>maui</v>
      </c>
      <c r="E186" s="6">
        <v>2043.3</v>
      </c>
      <c r="F186" s="3">
        <v>33175.299999999996</v>
      </c>
      <c r="G186" s="3">
        <v>3124</v>
      </c>
    </row>
    <row r="187" spans="1:7" x14ac:dyDescent="0.2">
      <c r="A187" s="3">
        <v>2019</v>
      </c>
      <c r="B187" s="3">
        <v>301</v>
      </c>
      <c r="C187" s="3" t="str">
        <f>VLOOKUP(B187, '[1]DAR area codes'!A:B,2,FALSE)</f>
        <v>maui</v>
      </c>
      <c r="E187" s="6">
        <v>331.4</v>
      </c>
      <c r="F187" s="3">
        <v>60.6</v>
      </c>
      <c r="G187" s="3">
        <v>0</v>
      </c>
    </row>
    <row r="188" spans="1:7" x14ac:dyDescent="0.2">
      <c r="A188" s="3">
        <v>2019</v>
      </c>
      <c r="B188" s="3">
        <v>302</v>
      </c>
      <c r="C188" s="3" t="str">
        <f>VLOOKUP(B188, '[1]DAR area codes'!A:B,2,FALSE)</f>
        <v>maui</v>
      </c>
      <c r="D188" s="4">
        <v>2277.8000000000002</v>
      </c>
      <c r="E188" s="6">
        <v>173.2</v>
      </c>
      <c r="F188" s="3">
        <v>7381.9</v>
      </c>
      <c r="G188" s="3">
        <v>1128.8</v>
      </c>
    </row>
    <row r="189" spans="1:7" x14ac:dyDescent="0.2">
      <c r="A189" s="3">
        <v>2019</v>
      </c>
      <c r="B189" s="3">
        <v>303</v>
      </c>
      <c r="C189" s="3" t="str">
        <f>VLOOKUP(B189, '[1]DAR area codes'!A:B,2,FALSE)</f>
        <v>maui</v>
      </c>
      <c r="D189" s="4">
        <v>493.6</v>
      </c>
      <c r="E189" s="6"/>
      <c r="F189" s="3">
        <v>170</v>
      </c>
      <c r="G189" s="3">
        <v>829.7</v>
      </c>
    </row>
    <row r="190" spans="1:7" x14ac:dyDescent="0.2">
      <c r="A190" s="3">
        <v>2019</v>
      </c>
      <c r="B190" s="3">
        <v>304</v>
      </c>
      <c r="C190" s="3" t="str">
        <f>VLOOKUP(B190, '[1]DAR area codes'!A:B,2,FALSE)</f>
        <v>maui</v>
      </c>
      <c r="D190" s="4">
        <v>892.1</v>
      </c>
      <c r="E190" s="6">
        <v>545.29999999999995</v>
      </c>
      <c r="F190" s="3">
        <v>4515</v>
      </c>
      <c r="G190" s="3">
        <v>2073.5500000000002</v>
      </c>
    </row>
    <row r="191" spans="1:7" x14ac:dyDescent="0.2">
      <c r="A191" s="3">
        <v>2019</v>
      </c>
      <c r="B191" s="3">
        <v>305</v>
      </c>
      <c r="C191" s="3" t="str">
        <f>VLOOKUP(B191, '[1]DAR area codes'!A:B,2,FALSE)</f>
        <v>maui</v>
      </c>
      <c r="D191" s="4">
        <v>3900.7</v>
      </c>
      <c r="E191" s="6">
        <v>811.5</v>
      </c>
      <c r="F191" s="3">
        <v>497.3</v>
      </c>
      <c r="G191" s="3">
        <v>6004.4</v>
      </c>
    </row>
    <row r="192" spans="1:7" x14ac:dyDescent="0.2">
      <c r="A192" s="3">
        <v>2019</v>
      </c>
      <c r="B192" s="3">
        <v>306</v>
      </c>
      <c r="C192" s="3" t="str">
        <f>VLOOKUP(B192, '[1]DAR area codes'!A:B,2,FALSE)</f>
        <v>maui</v>
      </c>
      <c r="E192" s="6"/>
      <c r="F192" s="3">
        <v>0</v>
      </c>
      <c r="G192" s="3">
        <v>1034.05</v>
      </c>
    </row>
    <row r="193" spans="1:7" x14ac:dyDescent="0.2">
      <c r="A193" s="3">
        <v>2019</v>
      </c>
      <c r="B193" s="3">
        <v>307</v>
      </c>
      <c r="C193" s="3" t="str">
        <f>VLOOKUP(B193, '[1]DAR area codes'!A:B,2,FALSE)</f>
        <v>maui</v>
      </c>
      <c r="E193" s="6"/>
      <c r="F193" s="3">
        <v>0</v>
      </c>
      <c r="G193" s="3">
        <v>0</v>
      </c>
    </row>
    <row r="194" spans="1:7" x14ac:dyDescent="0.2">
      <c r="A194" s="3">
        <v>2019</v>
      </c>
      <c r="B194" s="3">
        <v>308</v>
      </c>
      <c r="C194" s="3" t="str">
        <f>VLOOKUP(B194, '[1]DAR area codes'!A:B,2,FALSE)</f>
        <v>maui</v>
      </c>
      <c r="D194" s="4">
        <v>532.6</v>
      </c>
      <c r="E194" s="6">
        <v>4530.3999999999996</v>
      </c>
      <c r="F194" s="3">
        <v>352.1</v>
      </c>
      <c r="G194" s="3">
        <v>8881.9000000000015</v>
      </c>
    </row>
    <row r="195" spans="1:7" x14ac:dyDescent="0.2">
      <c r="A195" s="3">
        <v>2019</v>
      </c>
      <c r="B195" s="3">
        <v>309</v>
      </c>
      <c r="C195" s="3" t="str">
        <f>VLOOKUP(B195, '[1]DAR area codes'!A:B,2,FALSE)</f>
        <v>maui</v>
      </c>
      <c r="E195" s="6"/>
      <c r="F195" s="3">
        <v>0</v>
      </c>
      <c r="G195" s="3">
        <v>0</v>
      </c>
    </row>
    <row r="196" spans="1:7" x14ac:dyDescent="0.2">
      <c r="A196" s="3">
        <v>2019</v>
      </c>
      <c r="B196" s="3">
        <v>310</v>
      </c>
      <c r="C196" s="3" t="str">
        <f>VLOOKUP(B196, '[1]DAR area codes'!A:B,2,FALSE)</f>
        <v>maui</v>
      </c>
      <c r="D196" s="4">
        <v>3378.7</v>
      </c>
      <c r="E196" s="6"/>
      <c r="F196" s="3">
        <v>688</v>
      </c>
      <c r="G196" s="3">
        <v>490</v>
      </c>
    </row>
    <row r="197" spans="1:7" x14ac:dyDescent="0.2">
      <c r="A197" s="3">
        <v>2019</v>
      </c>
      <c r="B197" s="3">
        <v>311</v>
      </c>
      <c r="C197" s="3" t="str">
        <f>VLOOKUP(B197, '[1]DAR area codes'!A:B,2,FALSE)</f>
        <v>maui</v>
      </c>
      <c r="D197" s="4">
        <v>383.5</v>
      </c>
      <c r="E197" s="6">
        <v>1380.8</v>
      </c>
      <c r="F197" s="3">
        <v>0</v>
      </c>
      <c r="G197" s="3">
        <v>381.2</v>
      </c>
    </row>
    <row r="198" spans="1:7" x14ac:dyDescent="0.2">
      <c r="A198" s="3">
        <v>2019</v>
      </c>
      <c r="B198" s="3">
        <v>312</v>
      </c>
      <c r="C198" s="3" t="str">
        <f>VLOOKUP(B198, '[1]DAR area codes'!A:B,2,FALSE)</f>
        <v>maui</v>
      </c>
      <c r="D198" s="4">
        <v>254.5</v>
      </c>
      <c r="E198" s="6"/>
      <c r="F198" s="3">
        <v>0</v>
      </c>
      <c r="G198" s="3">
        <v>538</v>
      </c>
    </row>
    <row r="199" spans="1:7" x14ac:dyDescent="0.2">
      <c r="A199" s="3">
        <v>2019</v>
      </c>
      <c r="B199" s="3">
        <v>313</v>
      </c>
      <c r="C199" s="3" t="str">
        <f>VLOOKUP(B199, '[1]DAR area codes'!A:B,2,FALSE)</f>
        <v>maui</v>
      </c>
      <c r="D199" s="4">
        <v>589.4</v>
      </c>
      <c r="E199" s="6"/>
      <c r="F199" s="3">
        <v>0</v>
      </c>
      <c r="G199" s="3">
        <v>1025.9000000000001</v>
      </c>
    </row>
    <row r="200" spans="1:7" x14ac:dyDescent="0.2">
      <c r="A200" s="3">
        <v>2019</v>
      </c>
      <c r="B200" s="3">
        <v>314</v>
      </c>
      <c r="C200" s="3" t="str">
        <f>VLOOKUP(B200, '[1]DAR area codes'!A:B,2,FALSE)</f>
        <v>maui</v>
      </c>
      <c r="E200" s="6"/>
      <c r="F200" s="3">
        <v>0</v>
      </c>
      <c r="G200" s="3">
        <v>158</v>
      </c>
    </row>
    <row r="201" spans="1:7" x14ac:dyDescent="0.2">
      <c r="A201" s="3">
        <v>2019</v>
      </c>
      <c r="B201" s="3">
        <v>320</v>
      </c>
      <c r="C201" s="3" t="str">
        <f>VLOOKUP(B201, '[1]DAR area codes'!A:B,2,FALSE)</f>
        <v>maui</v>
      </c>
      <c r="D201" s="4">
        <v>21246.880000000001</v>
      </c>
      <c r="E201" s="6">
        <v>8644.1</v>
      </c>
      <c r="F201" s="3">
        <v>11973.01</v>
      </c>
      <c r="G201" s="3">
        <v>15785.599999999999</v>
      </c>
    </row>
    <row r="202" spans="1:7" x14ac:dyDescent="0.2">
      <c r="A202" s="3">
        <v>2019</v>
      </c>
      <c r="B202" s="3">
        <v>321</v>
      </c>
      <c r="C202" s="3" t="str">
        <f>VLOOKUP(B202, '[1]DAR area codes'!A:B,2,FALSE)</f>
        <v>maui</v>
      </c>
      <c r="D202" s="4">
        <v>12411.98</v>
      </c>
      <c r="E202" s="6">
        <v>2013.8</v>
      </c>
      <c r="F202" s="3">
        <v>431.5</v>
      </c>
      <c r="G202" s="3">
        <v>2318.3000000000002</v>
      </c>
    </row>
    <row r="203" spans="1:7" x14ac:dyDescent="0.2">
      <c r="A203" s="3">
        <v>2019</v>
      </c>
      <c r="B203" s="3">
        <v>322</v>
      </c>
      <c r="C203" s="3" t="str">
        <f>VLOOKUP(B203, '[1]DAR area codes'!A:B,2,FALSE)</f>
        <v>maui</v>
      </c>
      <c r="D203" s="4">
        <v>9363.5</v>
      </c>
      <c r="E203" s="6">
        <v>729.7</v>
      </c>
      <c r="F203" s="3">
        <v>0</v>
      </c>
      <c r="G203" s="3">
        <v>51100.61</v>
      </c>
    </row>
    <row r="204" spans="1:7" x14ac:dyDescent="0.2">
      <c r="A204" s="3">
        <v>2019</v>
      </c>
      <c r="B204" s="3">
        <v>323</v>
      </c>
      <c r="C204" s="3" t="str">
        <f>VLOOKUP(B204, '[1]DAR area codes'!A:B,2,FALSE)</f>
        <v>maui</v>
      </c>
      <c r="D204" s="4">
        <v>1823.6</v>
      </c>
      <c r="E204" s="6"/>
      <c r="F204" s="3">
        <v>0</v>
      </c>
      <c r="G204" s="3">
        <v>93641.1</v>
      </c>
    </row>
    <row r="205" spans="1:7" x14ac:dyDescent="0.2">
      <c r="A205" s="3">
        <v>2019</v>
      </c>
      <c r="B205" s="3">
        <v>324</v>
      </c>
      <c r="C205" s="3" t="str">
        <f>VLOOKUP(B205, '[1]DAR area codes'!A:B,2,FALSE)</f>
        <v>maui</v>
      </c>
      <c r="D205" s="4">
        <v>4228.7</v>
      </c>
      <c r="E205" s="6">
        <v>331.4</v>
      </c>
      <c r="F205" s="3">
        <v>0</v>
      </c>
      <c r="G205" s="3">
        <v>55395.25</v>
      </c>
    </row>
    <row r="206" spans="1:7" x14ac:dyDescent="0.2">
      <c r="A206" s="3">
        <v>2019</v>
      </c>
      <c r="B206" s="3">
        <v>325</v>
      </c>
      <c r="C206" s="3" t="str">
        <f>VLOOKUP(B206, '[1]DAR area codes'!A:B,2,FALSE)</f>
        <v>maui</v>
      </c>
      <c r="D206" s="4">
        <v>1898.5</v>
      </c>
      <c r="E206" s="6"/>
      <c r="F206" s="3">
        <v>0</v>
      </c>
      <c r="G206" s="3">
        <v>15364.400000000001</v>
      </c>
    </row>
    <row r="207" spans="1:7" x14ac:dyDescent="0.2">
      <c r="A207" s="3">
        <v>2019</v>
      </c>
      <c r="B207" s="3">
        <v>326</v>
      </c>
      <c r="C207" s="3" t="str">
        <f>VLOOKUP(B207, '[1]DAR area codes'!A:B,2,FALSE)</f>
        <v>maui</v>
      </c>
      <c r="E207" s="6"/>
      <c r="F207" s="3">
        <v>0</v>
      </c>
      <c r="G207" s="3">
        <v>14575.6</v>
      </c>
    </row>
    <row r="208" spans="1:7" x14ac:dyDescent="0.2">
      <c r="A208" s="3">
        <v>2019</v>
      </c>
      <c r="B208" s="3">
        <v>327</v>
      </c>
      <c r="C208" s="3" t="str">
        <f>VLOOKUP(B208, '[1]DAR area codes'!A:B,2,FALSE)</f>
        <v>maui</v>
      </c>
      <c r="D208" s="4">
        <v>16775.599999999999</v>
      </c>
      <c r="E208" s="6">
        <v>2658.6</v>
      </c>
      <c r="F208" s="3">
        <v>26.5</v>
      </c>
      <c r="G208" s="3">
        <v>50337.2</v>
      </c>
    </row>
    <row r="209" spans="1:7" x14ac:dyDescent="0.2">
      <c r="A209" s="3">
        <v>2019</v>
      </c>
      <c r="B209" s="3">
        <v>328</v>
      </c>
      <c r="C209" s="3" t="str">
        <f>VLOOKUP(B209, '[1]DAR area codes'!A:B,2,FALSE)</f>
        <v>maui</v>
      </c>
      <c r="D209" s="4">
        <v>447.7</v>
      </c>
      <c r="E209" s="6">
        <v>351.4</v>
      </c>
      <c r="F209" s="3">
        <v>0</v>
      </c>
      <c r="G209" s="3">
        <v>40044.75</v>
      </c>
    </row>
    <row r="210" spans="1:7" x14ac:dyDescent="0.2">
      <c r="A210" s="3">
        <v>2019</v>
      </c>
      <c r="B210" s="3">
        <v>331</v>
      </c>
      <c r="C210" s="3" t="str">
        <f>VLOOKUP(B210, '[1]DAR area codes'!A:B,2,FALSE)</f>
        <v>maui</v>
      </c>
      <c r="D210" s="4">
        <v>24122.83</v>
      </c>
      <c r="E210" s="6">
        <v>48679.7</v>
      </c>
      <c r="F210" s="3">
        <v>1288.82</v>
      </c>
      <c r="G210" s="3">
        <v>22003.200000000001</v>
      </c>
    </row>
    <row r="211" spans="1:7" x14ac:dyDescent="0.2">
      <c r="A211" s="3">
        <v>2019</v>
      </c>
      <c r="B211" s="3">
        <v>332</v>
      </c>
      <c r="C211" s="3" t="str">
        <f>VLOOKUP(B211, '[1]DAR area codes'!A:B,2,FALSE)</f>
        <v>maui</v>
      </c>
      <c r="D211" s="4">
        <v>462.5</v>
      </c>
      <c r="E211" s="6"/>
      <c r="F211" s="3">
        <v>0</v>
      </c>
      <c r="G211" s="3">
        <v>3360.2</v>
      </c>
    </row>
    <row r="212" spans="1:7" x14ac:dyDescent="0.2">
      <c r="A212" s="3">
        <v>2019</v>
      </c>
      <c r="B212" s="3">
        <v>333</v>
      </c>
      <c r="C212" s="3" t="str">
        <f>VLOOKUP(B212, '[1]DAR area codes'!A:B,2,FALSE)</f>
        <v>maui</v>
      </c>
      <c r="E212" s="6"/>
      <c r="F212" s="3">
        <v>0</v>
      </c>
      <c r="G212" s="3">
        <v>2356.1999999999998</v>
      </c>
    </row>
    <row r="213" spans="1:7" x14ac:dyDescent="0.2">
      <c r="A213" s="3">
        <v>2019</v>
      </c>
      <c r="B213" s="3">
        <v>400</v>
      </c>
      <c r="C213" s="3" t="str">
        <f>VLOOKUP(B213, '[1]DAR area codes'!A:B,2,FALSE)</f>
        <v>oahu</v>
      </c>
      <c r="E213" s="6"/>
      <c r="F213" s="3">
        <v>12604.689999999999</v>
      </c>
      <c r="G213" s="3">
        <v>203</v>
      </c>
    </row>
    <row r="214" spans="1:7" x14ac:dyDescent="0.2">
      <c r="A214" s="3">
        <v>2019</v>
      </c>
      <c r="B214" s="3">
        <v>401</v>
      </c>
      <c r="C214" s="3" t="str">
        <f>VLOOKUP(B214, '[1]DAR area codes'!A:B,2,FALSE)</f>
        <v>oahu</v>
      </c>
      <c r="D214" s="4">
        <v>303.89999999999998</v>
      </c>
      <c r="E214" s="6">
        <v>212.3</v>
      </c>
      <c r="F214" s="3">
        <v>35678.99</v>
      </c>
      <c r="G214" s="3">
        <v>1838.3000000000002</v>
      </c>
    </row>
    <row r="215" spans="1:7" x14ac:dyDescent="0.2">
      <c r="A215" s="3">
        <v>2019</v>
      </c>
      <c r="B215" s="3">
        <v>402</v>
      </c>
      <c r="C215" s="3" t="str">
        <f>VLOOKUP(B215, '[1]DAR area codes'!A:B,2,FALSE)</f>
        <v>oahu</v>
      </c>
      <c r="D215" s="4">
        <v>155.5</v>
      </c>
      <c r="E215" s="6">
        <v>3073.15</v>
      </c>
      <c r="F215" s="3">
        <v>50427.29</v>
      </c>
      <c r="G215" s="3">
        <v>2598.9</v>
      </c>
    </row>
    <row r="216" spans="1:7" x14ac:dyDescent="0.2">
      <c r="A216" s="3">
        <v>2019</v>
      </c>
      <c r="B216" s="3">
        <v>403</v>
      </c>
      <c r="C216" s="3" t="str">
        <f>VLOOKUP(B216, '[1]DAR area codes'!A:B,2,FALSE)</f>
        <v>oahu</v>
      </c>
      <c r="D216" s="4">
        <v>1428.45</v>
      </c>
      <c r="E216" s="6">
        <v>4684.9799999999996</v>
      </c>
      <c r="F216" s="3">
        <v>111186.5</v>
      </c>
      <c r="G216" s="3">
        <v>8734.2200000000012</v>
      </c>
    </row>
    <row r="217" spans="1:7" x14ac:dyDescent="0.2">
      <c r="A217" s="3">
        <v>2019</v>
      </c>
      <c r="B217" s="3">
        <v>404</v>
      </c>
      <c r="C217" s="3" t="str">
        <f>VLOOKUP(B217, '[1]DAR area codes'!A:B,2,FALSE)</f>
        <v>oahu</v>
      </c>
      <c r="D217" s="4">
        <v>234</v>
      </c>
      <c r="E217" s="6">
        <v>1585.5</v>
      </c>
      <c r="F217" s="3">
        <v>56625.74</v>
      </c>
      <c r="G217" s="3">
        <v>606.70000000000005</v>
      </c>
    </row>
    <row r="218" spans="1:7" x14ac:dyDescent="0.2">
      <c r="A218" s="3">
        <v>2019</v>
      </c>
      <c r="B218" s="3">
        <v>405</v>
      </c>
      <c r="C218" s="3" t="str">
        <f>VLOOKUP(B218, '[1]DAR area codes'!A:B,2,FALSE)</f>
        <v>oahu</v>
      </c>
      <c r="E218" s="6">
        <v>772.1</v>
      </c>
      <c r="F218" s="3">
        <v>22278.930000000004</v>
      </c>
      <c r="G218" s="3">
        <v>152</v>
      </c>
    </row>
    <row r="219" spans="1:7" x14ac:dyDescent="0.2">
      <c r="A219" s="3">
        <v>2019</v>
      </c>
      <c r="B219" s="3">
        <v>406</v>
      </c>
      <c r="C219" s="3" t="str">
        <f>VLOOKUP(B219, '[1]DAR area codes'!A:B,2,FALSE)</f>
        <v>oahu</v>
      </c>
      <c r="E219" s="6">
        <v>1101.5899999999999</v>
      </c>
      <c r="F219" s="3">
        <v>26720.189999999995</v>
      </c>
      <c r="G219" s="3">
        <v>0</v>
      </c>
    </row>
    <row r="220" spans="1:7" x14ac:dyDescent="0.2">
      <c r="A220" s="3">
        <v>2019</v>
      </c>
      <c r="B220" s="3">
        <v>407</v>
      </c>
      <c r="C220" s="3" t="str">
        <f>VLOOKUP(B220, '[1]DAR area codes'!A:B,2,FALSE)</f>
        <v>oahu</v>
      </c>
      <c r="E220" s="6">
        <v>401.7</v>
      </c>
      <c r="F220" s="3">
        <v>11354.740000000002</v>
      </c>
      <c r="G220" s="3">
        <v>184</v>
      </c>
    </row>
    <row r="221" spans="1:7" x14ac:dyDescent="0.2">
      <c r="A221" s="3">
        <v>2019</v>
      </c>
      <c r="B221" s="3">
        <v>408</v>
      </c>
      <c r="C221" s="3" t="str">
        <f>VLOOKUP(B221, '[1]DAR area codes'!A:B,2,FALSE)</f>
        <v>oahu</v>
      </c>
      <c r="E221" s="6">
        <v>369.5</v>
      </c>
      <c r="F221" s="3">
        <v>2204.7799999999997</v>
      </c>
      <c r="G221" s="3">
        <v>320</v>
      </c>
    </row>
    <row r="222" spans="1:7" x14ac:dyDescent="0.2">
      <c r="A222" s="3">
        <v>2019</v>
      </c>
      <c r="B222" s="3">
        <v>409</v>
      </c>
      <c r="C222" s="3" t="str">
        <f>VLOOKUP(B222, '[1]DAR area codes'!A:B,2,FALSE)</f>
        <v>oahu</v>
      </c>
      <c r="D222" s="4">
        <v>371</v>
      </c>
      <c r="E222" s="6"/>
      <c r="F222" s="3">
        <v>17961.519999999997</v>
      </c>
      <c r="G222" s="3">
        <v>695</v>
      </c>
    </row>
    <row r="223" spans="1:7" x14ac:dyDescent="0.2">
      <c r="A223" s="3">
        <v>2019</v>
      </c>
      <c r="B223" s="3">
        <v>420</v>
      </c>
      <c r="C223" s="3" t="str">
        <f>VLOOKUP(B223, '[1]DAR area codes'!A:B,2,FALSE)</f>
        <v>oahu</v>
      </c>
      <c r="D223" s="4">
        <v>610</v>
      </c>
      <c r="E223" s="6">
        <v>194</v>
      </c>
      <c r="F223" s="3">
        <v>0</v>
      </c>
      <c r="G223" s="3">
        <v>7693</v>
      </c>
    </row>
    <row r="224" spans="1:7" x14ac:dyDescent="0.2">
      <c r="A224" s="3">
        <v>2019</v>
      </c>
      <c r="B224" s="3">
        <v>421</v>
      </c>
      <c r="C224" s="3" t="str">
        <f>VLOOKUP(B224, '[1]DAR area codes'!A:B,2,FALSE)</f>
        <v>oahu</v>
      </c>
      <c r="D224" s="4">
        <v>170.7</v>
      </c>
      <c r="E224" s="6">
        <v>94.7</v>
      </c>
      <c r="F224" s="3">
        <v>908</v>
      </c>
      <c r="G224" s="3">
        <v>43067.199999999997</v>
      </c>
    </row>
    <row r="225" spans="1:7" x14ac:dyDescent="0.2">
      <c r="A225" s="3">
        <v>2019</v>
      </c>
      <c r="B225" s="3">
        <v>422</v>
      </c>
      <c r="C225" s="3" t="str">
        <f>VLOOKUP(B225, '[1]DAR area codes'!A:B,2,FALSE)</f>
        <v>oahu</v>
      </c>
      <c r="D225" s="4">
        <v>56.5</v>
      </c>
      <c r="E225" s="6">
        <v>216.5</v>
      </c>
      <c r="F225" s="3">
        <v>645.5</v>
      </c>
      <c r="G225" s="3">
        <v>56895.9</v>
      </c>
    </row>
    <row r="226" spans="1:7" x14ac:dyDescent="0.2">
      <c r="A226" s="3">
        <v>2019</v>
      </c>
      <c r="B226" s="3">
        <v>423</v>
      </c>
      <c r="C226" s="3" t="str">
        <f>VLOOKUP(B226, '[1]DAR area codes'!A:B,2,FALSE)</f>
        <v>oahu</v>
      </c>
      <c r="D226" s="4">
        <v>2400.6</v>
      </c>
      <c r="E226" s="6">
        <v>1372.3</v>
      </c>
      <c r="F226" s="3">
        <v>5519.5</v>
      </c>
      <c r="G226" s="3">
        <v>97217.3</v>
      </c>
    </row>
    <row r="227" spans="1:7" x14ac:dyDescent="0.2">
      <c r="A227" s="3">
        <v>2019</v>
      </c>
      <c r="B227" s="3">
        <v>424</v>
      </c>
      <c r="C227" s="3" t="str">
        <f>VLOOKUP(B227, '[1]DAR area codes'!A:B,2,FALSE)</f>
        <v>oahu</v>
      </c>
      <c r="E227" s="6"/>
      <c r="F227" s="3">
        <v>2386.4</v>
      </c>
      <c r="G227" s="3">
        <v>65286.2</v>
      </c>
    </row>
    <row r="228" spans="1:7" x14ac:dyDescent="0.2">
      <c r="A228" s="3">
        <v>2019</v>
      </c>
      <c r="B228" s="3">
        <v>425</v>
      </c>
      <c r="C228" s="3" t="str">
        <f>VLOOKUP(B228, '[1]DAR area codes'!A:B,2,FALSE)</f>
        <v>oahu</v>
      </c>
      <c r="E228" s="6"/>
      <c r="F228" s="3">
        <v>317.3</v>
      </c>
      <c r="G228" s="3">
        <v>94164.700000000012</v>
      </c>
    </row>
    <row r="229" spans="1:7" x14ac:dyDescent="0.2">
      <c r="A229" s="3">
        <v>2019</v>
      </c>
      <c r="B229" s="3">
        <v>426</v>
      </c>
      <c r="C229" s="3" t="str">
        <f>VLOOKUP(B229, '[1]DAR area codes'!A:B,2,FALSE)</f>
        <v>oahu</v>
      </c>
      <c r="E229" s="6"/>
      <c r="F229" s="3">
        <v>695</v>
      </c>
      <c r="G229" s="3">
        <v>66941.899999999994</v>
      </c>
    </row>
    <row r="230" spans="1:7" x14ac:dyDescent="0.2">
      <c r="A230" s="3">
        <v>2019</v>
      </c>
      <c r="B230" s="3">
        <v>427</v>
      </c>
      <c r="C230" s="3" t="str">
        <f>VLOOKUP(B230, '[1]DAR area codes'!A:B,2,FALSE)</f>
        <v>oahu</v>
      </c>
      <c r="E230" s="6"/>
      <c r="F230" s="3">
        <v>473.6</v>
      </c>
      <c r="G230" s="3">
        <v>87571.17</v>
      </c>
    </row>
    <row r="231" spans="1:7" x14ac:dyDescent="0.2">
      <c r="A231" s="3">
        <v>2019</v>
      </c>
      <c r="B231" s="3">
        <v>428</v>
      </c>
      <c r="C231" s="3" t="str">
        <f>VLOOKUP(B231, '[1]DAR area codes'!A:B,2,FALSE)</f>
        <v>oahu</v>
      </c>
      <c r="E231" s="6"/>
      <c r="F231" s="3">
        <v>0</v>
      </c>
      <c r="G231" s="3">
        <v>13591</v>
      </c>
    </row>
    <row r="232" spans="1:7" x14ac:dyDescent="0.2">
      <c r="A232" s="3">
        <v>2019</v>
      </c>
      <c r="B232" s="3">
        <v>429</v>
      </c>
      <c r="C232" s="3" t="str">
        <f>VLOOKUP(B232, '[1]DAR area codes'!A:B,2,FALSE)</f>
        <v>oahu</v>
      </c>
      <c r="D232" s="4">
        <v>1063.3</v>
      </c>
      <c r="E232" s="6">
        <v>607</v>
      </c>
      <c r="F232" s="3">
        <v>5715.5</v>
      </c>
      <c r="G232" s="3">
        <v>4124</v>
      </c>
    </row>
    <row r="233" spans="1:7" x14ac:dyDescent="0.2">
      <c r="A233" s="3">
        <v>2019</v>
      </c>
      <c r="B233" s="3">
        <v>500</v>
      </c>
      <c r="C233" s="3" t="str">
        <f>VLOOKUP(B233, '[1]DAR area codes'!A:B,2,FALSE)</f>
        <v>kauai</v>
      </c>
      <c r="D233" s="4">
        <v>2879.53</v>
      </c>
      <c r="E233" s="6">
        <v>3450</v>
      </c>
      <c r="F233" s="3">
        <v>22991.200000000001</v>
      </c>
      <c r="G233" s="3">
        <v>2772</v>
      </c>
    </row>
    <row r="234" spans="1:7" x14ac:dyDescent="0.2">
      <c r="A234" s="3">
        <v>2019</v>
      </c>
      <c r="B234" s="3">
        <v>501</v>
      </c>
      <c r="C234" s="3" t="str">
        <f>VLOOKUP(B234, '[1]DAR area codes'!A:B,2,FALSE)</f>
        <v>kauai</v>
      </c>
      <c r="D234" s="4">
        <v>2238.8000000000002</v>
      </c>
      <c r="E234" s="6">
        <v>3732.5</v>
      </c>
      <c r="F234" s="3">
        <v>7154.5</v>
      </c>
      <c r="G234" s="3">
        <v>1649</v>
      </c>
    </row>
    <row r="235" spans="1:7" x14ac:dyDescent="0.2">
      <c r="A235" s="3">
        <v>2019</v>
      </c>
      <c r="B235" s="3">
        <v>502</v>
      </c>
      <c r="C235" s="3" t="str">
        <f>VLOOKUP(B235, '[1]DAR area codes'!A:B,2,FALSE)</f>
        <v>kauai</v>
      </c>
      <c r="E235" s="6"/>
      <c r="F235" s="3">
        <v>0</v>
      </c>
      <c r="G235" s="3">
        <v>816</v>
      </c>
    </row>
    <row r="236" spans="1:7" x14ac:dyDescent="0.2">
      <c r="A236" s="3">
        <v>2019</v>
      </c>
      <c r="B236" s="3">
        <v>503</v>
      </c>
      <c r="C236" s="3" t="str">
        <f>VLOOKUP(B236, '[1]DAR area codes'!A:B,2,FALSE)</f>
        <v>kauai</v>
      </c>
      <c r="D236" s="4">
        <v>202</v>
      </c>
      <c r="E236" s="6"/>
      <c r="F236" s="3">
        <v>123.4</v>
      </c>
      <c r="G236" s="3">
        <v>203</v>
      </c>
    </row>
    <row r="237" spans="1:7" x14ac:dyDescent="0.2">
      <c r="A237" s="3">
        <v>2019</v>
      </c>
      <c r="B237" s="3">
        <v>504</v>
      </c>
      <c r="C237" s="3" t="str">
        <f>VLOOKUP(B237, '[1]DAR area codes'!A:B,2,FALSE)</f>
        <v>kauai</v>
      </c>
      <c r="D237" s="4">
        <v>531</v>
      </c>
      <c r="E237" s="6">
        <v>1181.5</v>
      </c>
      <c r="F237" s="3">
        <v>7317</v>
      </c>
      <c r="G237" s="3">
        <v>12485.8</v>
      </c>
    </row>
    <row r="238" spans="1:7" x14ac:dyDescent="0.2">
      <c r="A238" s="3">
        <v>2019</v>
      </c>
      <c r="B238" s="3">
        <v>505</v>
      </c>
      <c r="C238" s="3" t="str">
        <f>VLOOKUP(B238, '[1]DAR area codes'!A:B,2,FALSE)</f>
        <v>kauai</v>
      </c>
      <c r="D238" s="4">
        <v>1290</v>
      </c>
      <c r="E238" s="6">
        <v>3623.8</v>
      </c>
      <c r="F238" s="3">
        <v>11586.6</v>
      </c>
      <c r="G238" s="3">
        <v>6893.5</v>
      </c>
    </row>
    <row r="239" spans="1:7" x14ac:dyDescent="0.2">
      <c r="A239" s="3">
        <v>2019</v>
      </c>
      <c r="B239" s="3">
        <v>506</v>
      </c>
      <c r="C239" s="3" t="str">
        <f>VLOOKUP(B239, '[1]DAR area codes'!A:B,2,FALSE)</f>
        <v>kauai</v>
      </c>
      <c r="D239" s="4">
        <v>1774.27</v>
      </c>
      <c r="E239" s="6">
        <v>4977.1000000000004</v>
      </c>
      <c r="F239" s="3">
        <v>2612.4</v>
      </c>
      <c r="G239" s="3">
        <v>2855</v>
      </c>
    </row>
    <row r="240" spans="1:7" x14ac:dyDescent="0.2">
      <c r="A240" s="3">
        <v>2019</v>
      </c>
      <c r="B240" s="3">
        <v>507</v>
      </c>
      <c r="C240" s="3" t="str">
        <f>VLOOKUP(B240, '[1]DAR area codes'!A:B,2,FALSE)</f>
        <v>kauai</v>
      </c>
      <c r="E240" s="6"/>
      <c r="F240" s="3">
        <v>0</v>
      </c>
      <c r="G240" s="3">
        <v>0</v>
      </c>
    </row>
    <row r="241" spans="1:7" x14ac:dyDescent="0.2">
      <c r="A241" s="3">
        <v>2019</v>
      </c>
      <c r="B241" s="3">
        <v>508</v>
      </c>
      <c r="C241" s="3" t="str">
        <f>VLOOKUP(B241, '[1]DAR area codes'!A:B,2,FALSE)</f>
        <v>kauai</v>
      </c>
      <c r="E241" s="6"/>
      <c r="F241" s="3">
        <v>0</v>
      </c>
      <c r="G241" s="3">
        <v>18666</v>
      </c>
    </row>
    <row r="242" spans="1:7" x14ac:dyDescent="0.2">
      <c r="A242" s="3">
        <v>2019</v>
      </c>
      <c r="B242" s="3">
        <v>520</v>
      </c>
      <c r="C242" s="3" t="str">
        <f>VLOOKUP(B242, '[1]DAR area codes'!A:B,2,FALSE)</f>
        <v>kauai</v>
      </c>
      <c r="D242" s="4">
        <v>458.1</v>
      </c>
      <c r="E242" s="6">
        <v>469.5</v>
      </c>
      <c r="F242" s="3">
        <v>3625.5</v>
      </c>
      <c r="G242" s="3">
        <v>179322.7</v>
      </c>
    </row>
    <row r="243" spans="1:7" x14ac:dyDescent="0.2">
      <c r="A243" s="3">
        <v>2019</v>
      </c>
      <c r="B243" s="3">
        <v>521</v>
      </c>
      <c r="C243" s="3" t="str">
        <f>VLOOKUP(B243, '[1]DAR area codes'!A:B,2,FALSE)</f>
        <v>kauai</v>
      </c>
      <c r="D243" s="4">
        <v>822.7</v>
      </c>
      <c r="E243" s="6">
        <v>934.4</v>
      </c>
      <c r="F243" s="3">
        <v>1243</v>
      </c>
      <c r="G243" s="3">
        <v>34338.5</v>
      </c>
    </row>
    <row r="244" spans="1:7" x14ac:dyDescent="0.2">
      <c r="A244" s="3">
        <v>2019</v>
      </c>
      <c r="B244" s="3">
        <v>522</v>
      </c>
      <c r="C244" s="3" t="str">
        <f>VLOOKUP(B244, '[1]DAR area codes'!A:B,2,FALSE)</f>
        <v>kauai</v>
      </c>
      <c r="D244" s="4">
        <v>542</v>
      </c>
      <c r="E244" s="6"/>
      <c r="F244" s="3">
        <v>0</v>
      </c>
      <c r="G244" s="3">
        <v>6609</v>
      </c>
    </row>
    <row r="245" spans="1:7" x14ac:dyDescent="0.2">
      <c r="A245" s="3">
        <v>2019</v>
      </c>
      <c r="B245" s="3">
        <v>523</v>
      </c>
      <c r="C245" s="3" t="str">
        <f>VLOOKUP(B245, '[1]DAR area codes'!A:B,2,FALSE)</f>
        <v>kauai</v>
      </c>
      <c r="E245" s="6"/>
      <c r="F245" s="3">
        <v>0</v>
      </c>
      <c r="G245" s="3">
        <v>35052.400000000001</v>
      </c>
    </row>
    <row r="246" spans="1:7" x14ac:dyDescent="0.2">
      <c r="A246" s="3">
        <v>2019</v>
      </c>
      <c r="B246" s="3">
        <v>524</v>
      </c>
      <c r="C246" s="3" t="str">
        <f>VLOOKUP(B246, '[1]DAR area codes'!A:B,2,FALSE)</f>
        <v>kauai</v>
      </c>
      <c r="D246" s="4">
        <v>1147.46</v>
      </c>
      <c r="E246" s="6">
        <v>4971.3</v>
      </c>
      <c r="F246" s="3">
        <v>993</v>
      </c>
      <c r="G246" s="3">
        <v>196016.44999999998</v>
      </c>
    </row>
    <row r="247" spans="1:7" x14ac:dyDescent="0.2">
      <c r="A247" s="3">
        <v>2019</v>
      </c>
      <c r="B247" s="3">
        <v>525</v>
      </c>
      <c r="C247" s="3" t="str">
        <f>VLOOKUP(B247, '[1]DAR area codes'!A:B,2,FALSE)</f>
        <v>kauai</v>
      </c>
      <c r="D247" s="4">
        <v>982.75</v>
      </c>
      <c r="E247" s="6">
        <v>469.3</v>
      </c>
      <c r="F247" s="3">
        <v>574</v>
      </c>
      <c r="G247" s="3">
        <v>24364.1</v>
      </c>
    </row>
    <row r="248" spans="1:7" x14ac:dyDescent="0.2">
      <c r="A248" s="3">
        <v>2019</v>
      </c>
      <c r="B248" s="3">
        <v>526</v>
      </c>
      <c r="C248" s="3" t="str">
        <f>VLOOKUP(B248, '[1]DAR area codes'!A:B,2,FALSE)</f>
        <v>kauai</v>
      </c>
      <c r="D248" s="4">
        <v>2535.3000000000002</v>
      </c>
      <c r="E248" s="6">
        <v>450</v>
      </c>
      <c r="F248" s="3">
        <v>0</v>
      </c>
      <c r="G248" s="3">
        <v>520.4</v>
      </c>
    </row>
    <row r="249" spans="1:7" x14ac:dyDescent="0.2">
      <c r="A249" s="3">
        <v>2019</v>
      </c>
      <c r="B249" s="3">
        <v>527</v>
      </c>
      <c r="C249" s="3" t="str">
        <f>VLOOKUP(B249, '[1]DAR area codes'!A:B,2,FALSE)</f>
        <v>kauai</v>
      </c>
      <c r="E249" s="6"/>
      <c r="F249" s="3">
        <v>0</v>
      </c>
      <c r="G249" s="3">
        <v>178.25</v>
      </c>
    </row>
    <row r="250" spans="1:7" x14ac:dyDescent="0.2">
      <c r="A250" s="3">
        <v>2019</v>
      </c>
      <c r="B250" s="3">
        <v>528</v>
      </c>
      <c r="C250" s="3" t="str">
        <f>VLOOKUP(B250, '[1]DAR area codes'!A:B,2,FALSE)</f>
        <v>kauai</v>
      </c>
      <c r="E250" s="6"/>
      <c r="F250" s="3">
        <v>0</v>
      </c>
      <c r="G250" s="3">
        <v>0</v>
      </c>
    </row>
    <row r="251" spans="1:7" x14ac:dyDescent="0.2">
      <c r="A251" s="3">
        <v>2018</v>
      </c>
      <c r="B251" s="3">
        <v>100</v>
      </c>
      <c r="C251" s="3" t="str">
        <f>VLOOKUP(B251, '[1]DAR area codes'!A:B,2,FALSE)</f>
        <v>hawaii</v>
      </c>
      <c r="E251" s="6"/>
      <c r="F251" s="3">
        <v>2811.2999999999997</v>
      </c>
      <c r="G251" s="3">
        <v>26210.2</v>
      </c>
    </row>
    <row r="252" spans="1:7" x14ac:dyDescent="0.2">
      <c r="A252" s="3">
        <v>2018</v>
      </c>
      <c r="B252" s="3">
        <v>101</v>
      </c>
      <c r="C252" s="3" t="str">
        <f>VLOOKUP(B252, '[1]DAR area codes'!A:B,2,FALSE)</f>
        <v>hawaii</v>
      </c>
      <c r="D252" s="4">
        <v>4011.3</v>
      </c>
      <c r="E252" s="6">
        <v>1010.32</v>
      </c>
      <c r="F252" s="3">
        <v>96696.180000000008</v>
      </c>
      <c r="G252" s="3">
        <v>140336.6</v>
      </c>
    </row>
    <row r="253" spans="1:7" x14ac:dyDescent="0.2">
      <c r="A253" s="3">
        <v>2018</v>
      </c>
      <c r="B253" s="3">
        <v>102</v>
      </c>
      <c r="C253" s="3" t="str">
        <f>VLOOKUP(B253, '[1]DAR area codes'!A:B,2,FALSE)</f>
        <v>hawaii</v>
      </c>
      <c r="D253" s="4">
        <v>1532.4</v>
      </c>
      <c r="E253" s="6">
        <v>2596</v>
      </c>
      <c r="F253" s="3">
        <v>2045.62</v>
      </c>
      <c r="G253" s="3">
        <v>12374</v>
      </c>
    </row>
    <row r="254" spans="1:7" x14ac:dyDescent="0.2">
      <c r="A254" s="3">
        <v>2018</v>
      </c>
      <c r="B254" s="3">
        <v>103</v>
      </c>
      <c r="C254" s="3" t="str">
        <f>VLOOKUP(B254, '[1]DAR area codes'!A:B,2,FALSE)</f>
        <v>hawaii</v>
      </c>
      <c r="D254" s="4">
        <v>1770.5</v>
      </c>
      <c r="E254" s="6"/>
      <c r="F254" s="3">
        <v>146.5</v>
      </c>
      <c r="G254" s="3">
        <v>1578</v>
      </c>
    </row>
    <row r="255" spans="1:7" x14ac:dyDescent="0.2">
      <c r="A255" s="3">
        <v>2018</v>
      </c>
      <c r="B255" s="3">
        <v>104</v>
      </c>
      <c r="C255" s="3" t="str">
        <f>VLOOKUP(B255, '[1]DAR area codes'!A:B,2,FALSE)</f>
        <v>hawaii</v>
      </c>
      <c r="D255" s="4">
        <v>1506.7</v>
      </c>
      <c r="E255" s="6"/>
      <c r="F255" s="3">
        <v>1404.8</v>
      </c>
      <c r="G255" s="3">
        <v>613</v>
      </c>
    </row>
    <row r="256" spans="1:7" x14ac:dyDescent="0.2">
      <c r="A256" s="3">
        <v>2018</v>
      </c>
      <c r="B256" s="3">
        <v>105</v>
      </c>
      <c r="C256" s="3" t="str">
        <f>VLOOKUP(B256, '[1]DAR area codes'!A:B,2,FALSE)</f>
        <v>hawaii</v>
      </c>
      <c r="D256" s="4">
        <v>3359.04</v>
      </c>
      <c r="E256" s="6">
        <v>463.3</v>
      </c>
      <c r="F256" s="3">
        <v>5754.45</v>
      </c>
      <c r="G256" s="3">
        <v>16165.599999999999</v>
      </c>
    </row>
    <row r="257" spans="1:7" x14ac:dyDescent="0.2">
      <c r="A257" s="3">
        <v>2018</v>
      </c>
      <c r="B257" s="3">
        <v>106</v>
      </c>
      <c r="C257" s="3" t="str">
        <f>VLOOKUP(B257, '[1]DAR area codes'!A:B,2,FALSE)</f>
        <v>hawaii</v>
      </c>
      <c r="D257" s="4">
        <v>2683.2</v>
      </c>
      <c r="E257" s="6">
        <v>794.1</v>
      </c>
      <c r="F257" s="3">
        <v>6844.84</v>
      </c>
      <c r="G257" s="3">
        <v>42937.8</v>
      </c>
    </row>
    <row r="258" spans="1:7" x14ac:dyDescent="0.2">
      <c r="A258" s="3">
        <v>2018</v>
      </c>
      <c r="B258" s="3">
        <v>107</v>
      </c>
      <c r="C258" s="3" t="str">
        <f>VLOOKUP(B258, '[1]DAR area codes'!A:B,2,FALSE)</f>
        <v>hawaii</v>
      </c>
      <c r="D258" s="4">
        <v>420.6</v>
      </c>
      <c r="E258" s="6"/>
      <c r="F258" s="3">
        <v>1126.0999999999999</v>
      </c>
      <c r="G258" s="3">
        <v>21750.870000000003</v>
      </c>
    </row>
    <row r="259" spans="1:7" x14ac:dyDescent="0.2">
      <c r="A259" s="3">
        <v>2018</v>
      </c>
      <c r="B259" s="3">
        <v>108</v>
      </c>
      <c r="C259" s="3" t="str">
        <f>VLOOKUP(B259, '[1]DAR area codes'!A:B,2,FALSE)</f>
        <v>hawaii</v>
      </c>
      <c r="D259" s="4">
        <v>2250.3000000000002</v>
      </c>
      <c r="E259" s="6">
        <v>1779.9</v>
      </c>
      <c r="F259" s="3">
        <v>3984.8</v>
      </c>
      <c r="G259" s="3">
        <v>33255.5</v>
      </c>
    </row>
    <row r="260" spans="1:7" x14ac:dyDescent="0.2">
      <c r="A260" s="3">
        <v>2018</v>
      </c>
      <c r="B260" s="3">
        <v>120</v>
      </c>
      <c r="C260" s="3" t="str">
        <f>VLOOKUP(B260, '[1]DAR area codes'!A:B,2,FALSE)</f>
        <v>hawaii</v>
      </c>
      <c r="D260" s="4">
        <v>1674</v>
      </c>
      <c r="E260" s="6">
        <v>1192.4000000000001</v>
      </c>
      <c r="F260" s="3">
        <v>761.47</v>
      </c>
      <c r="G260" s="3">
        <v>42192.800000000003</v>
      </c>
    </row>
    <row r="261" spans="1:7" x14ac:dyDescent="0.2">
      <c r="A261" s="3">
        <v>2018</v>
      </c>
      <c r="B261" s="3">
        <v>121</v>
      </c>
      <c r="C261" s="3" t="str">
        <f>VLOOKUP(B261, '[1]DAR area codes'!A:B,2,FALSE)</f>
        <v>hawaii</v>
      </c>
      <c r="D261" s="4">
        <v>1902.62</v>
      </c>
      <c r="E261" s="6">
        <v>823.16</v>
      </c>
      <c r="F261" s="3">
        <v>12319.279999999999</v>
      </c>
      <c r="G261" s="3">
        <v>739062.81</v>
      </c>
    </row>
    <row r="262" spans="1:7" x14ac:dyDescent="0.2">
      <c r="A262" s="3">
        <v>2018</v>
      </c>
      <c r="B262" s="3">
        <v>122</v>
      </c>
      <c r="C262" s="3" t="str">
        <f>VLOOKUP(B262, '[1]DAR area codes'!A:B,2,FALSE)</f>
        <v>hawaii</v>
      </c>
      <c r="D262" s="4">
        <v>9194.33</v>
      </c>
      <c r="E262" s="6">
        <v>3490.94</v>
      </c>
      <c r="F262" s="3">
        <v>178</v>
      </c>
      <c r="G262" s="3">
        <v>159085.44999999998</v>
      </c>
    </row>
    <row r="263" spans="1:7" x14ac:dyDescent="0.2">
      <c r="A263" s="3">
        <v>2018</v>
      </c>
      <c r="B263" s="3">
        <v>123</v>
      </c>
      <c r="C263" s="3" t="str">
        <f>VLOOKUP(B263, '[1]DAR area codes'!A:B,2,FALSE)</f>
        <v>hawaii</v>
      </c>
      <c r="E263" s="6"/>
      <c r="F263" s="3">
        <v>0</v>
      </c>
      <c r="G263" s="3">
        <v>2088.1400000000003</v>
      </c>
    </row>
    <row r="264" spans="1:7" x14ac:dyDescent="0.2">
      <c r="A264" s="3">
        <v>2018</v>
      </c>
      <c r="B264" s="3">
        <v>124</v>
      </c>
      <c r="C264" s="3" t="str">
        <f>VLOOKUP(B264, '[1]DAR area codes'!A:B,2,FALSE)</f>
        <v>hawaii</v>
      </c>
      <c r="E264" s="6"/>
      <c r="F264" s="3">
        <v>0</v>
      </c>
      <c r="G264" s="3">
        <v>6323.83</v>
      </c>
    </row>
    <row r="265" spans="1:7" x14ac:dyDescent="0.2">
      <c r="A265" s="3">
        <v>2018</v>
      </c>
      <c r="B265" s="3">
        <v>125</v>
      </c>
      <c r="C265" s="3" t="str">
        <f>VLOOKUP(B265, '[1]DAR area codes'!A:B,2,FALSE)</f>
        <v>hawaii</v>
      </c>
      <c r="D265" s="4">
        <v>2235</v>
      </c>
      <c r="E265" s="6">
        <v>429.1</v>
      </c>
      <c r="F265" s="3">
        <v>351</v>
      </c>
      <c r="G265" s="3">
        <v>246535.06999999998</v>
      </c>
    </row>
    <row r="266" spans="1:7" x14ac:dyDescent="0.2">
      <c r="A266" s="3">
        <v>2018</v>
      </c>
      <c r="B266" s="3">
        <v>126</v>
      </c>
      <c r="C266" s="3" t="str">
        <f>VLOOKUP(B266, '[1]DAR area codes'!A:B,2,FALSE)</f>
        <v>hawaii</v>
      </c>
      <c r="D266" s="4">
        <v>458.85</v>
      </c>
      <c r="E266" s="6"/>
      <c r="F266" s="3">
        <v>444.73</v>
      </c>
      <c r="G266" s="3">
        <v>141059.29999999999</v>
      </c>
    </row>
    <row r="267" spans="1:7" x14ac:dyDescent="0.2">
      <c r="A267" s="3">
        <v>2018</v>
      </c>
      <c r="B267" s="3">
        <v>127</v>
      </c>
      <c r="C267" s="3" t="str">
        <f>VLOOKUP(B267, '[1]DAR area codes'!A:B,2,FALSE)</f>
        <v>hawaii</v>
      </c>
      <c r="D267" s="4">
        <v>416.4</v>
      </c>
      <c r="E267" s="6"/>
      <c r="F267" s="3">
        <v>0</v>
      </c>
      <c r="G267" s="3">
        <v>39260</v>
      </c>
    </row>
    <row r="268" spans="1:7" x14ac:dyDescent="0.2">
      <c r="A268" s="3">
        <v>2018</v>
      </c>
      <c r="B268" s="3">
        <v>128</v>
      </c>
      <c r="C268" s="3" t="str">
        <f>VLOOKUP(B268, '[1]DAR area codes'!A:B,2,FALSE)</f>
        <v>hawaii</v>
      </c>
      <c r="D268" s="4">
        <v>1702.7</v>
      </c>
      <c r="E268" s="6">
        <v>610.1</v>
      </c>
      <c r="F268" s="3">
        <v>0</v>
      </c>
      <c r="G268" s="3">
        <v>44151</v>
      </c>
    </row>
    <row r="269" spans="1:7" x14ac:dyDescent="0.2">
      <c r="A269" s="3">
        <v>2018</v>
      </c>
      <c r="B269" s="3">
        <v>300</v>
      </c>
      <c r="C269" s="3" t="str">
        <f>VLOOKUP(B269, '[1]DAR area codes'!A:B,2,FALSE)</f>
        <v>maui</v>
      </c>
      <c r="E269" s="6">
        <v>3457.1</v>
      </c>
      <c r="F269" s="3">
        <v>35270.249999999993</v>
      </c>
      <c r="G269" s="3">
        <v>1672.5</v>
      </c>
    </row>
    <row r="270" spans="1:7" x14ac:dyDescent="0.2">
      <c r="A270" s="3">
        <v>2018</v>
      </c>
      <c r="B270" s="3">
        <v>301</v>
      </c>
      <c r="C270" s="3" t="str">
        <f>VLOOKUP(B270, '[1]DAR area codes'!A:B,2,FALSE)</f>
        <v>maui</v>
      </c>
      <c r="E270" s="6"/>
      <c r="F270" s="3">
        <v>887</v>
      </c>
      <c r="G270" s="3">
        <v>0</v>
      </c>
    </row>
    <row r="271" spans="1:7" x14ac:dyDescent="0.2">
      <c r="A271" s="3">
        <v>2018</v>
      </c>
      <c r="B271" s="3">
        <v>302</v>
      </c>
      <c r="C271" s="3" t="str">
        <f>VLOOKUP(B271, '[1]DAR area codes'!A:B,2,FALSE)</f>
        <v>maui</v>
      </c>
      <c r="D271" s="4">
        <v>1324</v>
      </c>
      <c r="E271" s="6">
        <v>517</v>
      </c>
      <c r="F271" s="3">
        <v>8561.85</v>
      </c>
      <c r="G271" s="3">
        <v>557.4</v>
      </c>
    </row>
    <row r="272" spans="1:7" x14ac:dyDescent="0.2">
      <c r="A272" s="3">
        <v>2018</v>
      </c>
      <c r="B272" s="3">
        <v>303</v>
      </c>
      <c r="C272" s="3" t="str">
        <f>VLOOKUP(B272, '[1]DAR area codes'!A:B,2,FALSE)</f>
        <v>maui</v>
      </c>
      <c r="D272" s="4">
        <v>917.7</v>
      </c>
      <c r="E272" s="6">
        <v>333.7</v>
      </c>
      <c r="F272" s="3">
        <v>1505.3</v>
      </c>
      <c r="G272" s="3">
        <v>410.2</v>
      </c>
    </row>
    <row r="273" spans="1:7" x14ac:dyDescent="0.2">
      <c r="A273" s="3">
        <v>2018</v>
      </c>
      <c r="B273" s="3">
        <v>304</v>
      </c>
      <c r="C273" s="3" t="str">
        <f>VLOOKUP(B273, '[1]DAR area codes'!A:B,2,FALSE)</f>
        <v>maui</v>
      </c>
      <c r="D273" s="4">
        <v>599.95000000000005</v>
      </c>
      <c r="E273" s="6"/>
      <c r="F273" s="3">
        <v>1711.7</v>
      </c>
      <c r="G273" s="3">
        <v>684.35</v>
      </c>
    </row>
    <row r="274" spans="1:7" x14ac:dyDescent="0.2">
      <c r="A274" s="3">
        <v>2018</v>
      </c>
      <c r="B274" s="3">
        <v>305</v>
      </c>
      <c r="C274" s="3" t="str">
        <f>VLOOKUP(B274, '[1]DAR area codes'!A:B,2,FALSE)</f>
        <v>maui</v>
      </c>
      <c r="D274" s="4">
        <v>5529.1</v>
      </c>
      <c r="E274" s="6">
        <v>1128.8</v>
      </c>
      <c r="F274" s="3">
        <v>1106.1500000000001</v>
      </c>
      <c r="G274" s="3">
        <v>3593.43</v>
      </c>
    </row>
    <row r="275" spans="1:7" x14ac:dyDescent="0.2">
      <c r="A275" s="3">
        <v>2018</v>
      </c>
      <c r="B275" s="3">
        <v>306</v>
      </c>
      <c r="C275" s="3" t="str">
        <f>VLOOKUP(B275, '[1]DAR area codes'!A:B,2,FALSE)</f>
        <v>maui</v>
      </c>
      <c r="E275" s="6"/>
      <c r="F275" s="3">
        <v>0</v>
      </c>
      <c r="G275" s="3">
        <v>957.5</v>
      </c>
    </row>
    <row r="276" spans="1:7" x14ac:dyDescent="0.2">
      <c r="A276" s="3">
        <v>2018</v>
      </c>
      <c r="B276" s="3">
        <v>307</v>
      </c>
      <c r="C276" s="3" t="str">
        <f>VLOOKUP(B276, '[1]DAR area codes'!A:B,2,FALSE)</f>
        <v>maui</v>
      </c>
      <c r="E276" s="6"/>
      <c r="F276" s="3">
        <v>0</v>
      </c>
      <c r="G276" s="3">
        <v>209.5</v>
      </c>
    </row>
    <row r="277" spans="1:7" x14ac:dyDescent="0.2">
      <c r="A277" s="3">
        <v>2018</v>
      </c>
      <c r="B277" s="3">
        <v>308</v>
      </c>
      <c r="C277" s="3" t="str">
        <f>VLOOKUP(B277, '[1]DAR area codes'!A:B,2,FALSE)</f>
        <v>maui</v>
      </c>
      <c r="D277" s="4">
        <v>1419.3</v>
      </c>
      <c r="E277" s="6">
        <v>7981.7</v>
      </c>
      <c r="F277" s="3">
        <v>207.3</v>
      </c>
      <c r="G277" s="3">
        <v>9879</v>
      </c>
    </row>
    <row r="278" spans="1:7" x14ac:dyDescent="0.2">
      <c r="A278" s="3">
        <v>2018</v>
      </c>
      <c r="B278" s="3">
        <v>309</v>
      </c>
      <c r="C278" s="3" t="str">
        <f>VLOOKUP(B278, '[1]DAR area codes'!A:B,2,FALSE)</f>
        <v>maui</v>
      </c>
      <c r="E278" s="6"/>
      <c r="F278" s="3">
        <v>0</v>
      </c>
      <c r="G278" s="3">
        <v>0</v>
      </c>
    </row>
    <row r="279" spans="1:7" x14ac:dyDescent="0.2">
      <c r="A279" s="3">
        <v>2018</v>
      </c>
      <c r="B279" s="3">
        <v>310</v>
      </c>
      <c r="C279" s="3" t="str">
        <f>VLOOKUP(B279, '[1]DAR area codes'!A:B,2,FALSE)</f>
        <v>maui</v>
      </c>
      <c r="E279" s="6"/>
      <c r="F279" s="3">
        <v>289.5</v>
      </c>
      <c r="G279" s="3">
        <v>858</v>
      </c>
    </row>
    <row r="280" spans="1:7" x14ac:dyDescent="0.2">
      <c r="A280" s="3">
        <v>2018</v>
      </c>
      <c r="B280" s="3">
        <v>311</v>
      </c>
      <c r="C280" s="3" t="str">
        <f>VLOOKUP(B280, '[1]DAR area codes'!A:B,2,FALSE)</f>
        <v>maui</v>
      </c>
      <c r="E280" s="6"/>
      <c r="F280" s="3">
        <v>32.5</v>
      </c>
      <c r="G280" s="3">
        <v>284</v>
      </c>
    </row>
    <row r="281" spans="1:7" x14ac:dyDescent="0.2">
      <c r="A281" s="3">
        <v>2018</v>
      </c>
      <c r="B281" s="3">
        <v>312</v>
      </c>
      <c r="C281" s="3" t="str">
        <f>VLOOKUP(B281, '[1]DAR area codes'!A:B,2,FALSE)</f>
        <v>maui</v>
      </c>
      <c r="E281" s="6"/>
      <c r="F281" s="3">
        <v>0</v>
      </c>
      <c r="G281" s="3">
        <v>358</v>
      </c>
    </row>
    <row r="282" spans="1:7" x14ac:dyDescent="0.2">
      <c r="A282" s="3">
        <v>2018</v>
      </c>
      <c r="B282" s="3">
        <v>313</v>
      </c>
      <c r="C282" s="3" t="str">
        <f>VLOOKUP(B282, '[1]DAR area codes'!A:B,2,FALSE)</f>
        <v>maui</v>
      </c>
      <c r="D282" s="4">
        <v>3106.5</v>
      </c>
      <c r="E282" s="6"/>
      <c r="F282" s="3">
        <v>0</v>
      </c>
      <c r="G282" s="3">
        <v>340.4</v>
      </c>
    </row>
    <row r="283" spans="1:7" x14ac:dyDescent="0.2">
      <c r="A283" s="3">
        <v>2018</v>
      </c>
      <c r="B283" s="3">
        <v>314</v>
      </c>
      <c r="C283" s="3" t="str">
        <f>VLOOKUP(B283, '[1]DAR area codes'!A:B,2,FALSE)</f>
        <v>maui</v>
      </c>
      <c r="E283" s="6"/>
      <c r="F283" s="3">
        <v>0</v>
      </c>
      <c r="G283" s="3">
        <v>0</v>
      </c>
    </row>
    <row r="284" spans="1:7" x14ac:dyDescent="0.2">
      <c r="A284" s="3">
        <v>2018</v>
      </c>
      <c r="B284" s="3">
        <v>320</v>
      </c>
      <c r="C284" s="3" t="str">
        <f>VLOOKUP(B284, '[1]DAR area codes'!A:B,2,FALSE)</f>
        <v>maui</v>
      </c>
      <c r="D284" s="4">
        <v>30961.15</v>
      </c>
      <c r="E284" s="6">
        <v>9364.5</v>
      </c>
      <c r="F284" s="3">
        <v>8256.11</v>
      </c>
      <c r="G284" s="3">
        <v>34609.600000000006</v>
      </c>
    </row>
    <row r="285" spans="1:7" x14ac:dyDescent="0.2">
      <c r="A285" s="3">
        <v>2018</v>
      </c>
      <c r="B285" s="3">
        <v>321</v>
      </c>
      <c r="C285" s="3" t="str">
        <f>VLOOKUP(B285, '[1]DAR area codes'!A:B,2,FALSE)</f>
        <v>maui</v>
      </c>
      <c r="D285" s="4">
        <v>16169.88</v>
      </c>
      <c r="E285" s="6">
        <v>6810.25</v>
      </c>
      <c r="F285" s="3">
        <v>695.48</v>
      </c>
      <c r="G285" s="3">
        <v>1494.5</v>
      </c>
    </row>
    <row r="286" spans="1:7" x14ac:dyDescent="0.2">
      <c r="A286" s="3">
        <v>2018</v>
      </c>
      <c r="B286" s="3">
        <v>322</v>
      </c>
      <c r="C286" s="3" t="str">
        <f>VLOOKUP(B286, '[1]DAR area codes'!A:B,2,FALSE)</f>
        <v>maui</v>
      </c>
      <c r="D286" s="4">
        <v>5401.6</v>
      </c>
      <c r="E286" s="6"/>
      <c r="F286" s="3">
        <v>0</v>
      </c>
      <c r="G286" s="3">
        <v>56569.16</v>
      </c>
    </row>
    <row r="287" spans="1:7" x14ac:dyDescent="0.2">
      <c r="A287" s="3">
        <v>2018</v>
      </c>
      <c r="B287" s="3">
        <v>323</v>
      </c>
      <c r="C287" s="3" t="str">
        <f>VLOOKUP(B287, '[1]DAR area codes'!A:B,2,FALSE)</f>
        <v>maui</v>
      </c>
      <c r="D287" s="4">
        <v>1907.3</v>
      </c>
      <c r="E287" s="6"/>
      <c r="F287" s="3">
        <v>0</v>
      </c>
      <c r="G287" s="3">
        <v>146316.5</v>
      </c>
    </row>
    <row r="288" spans="1:7" x14ac:dyDescent="0.2">
      <c r="A288" s="3">
        <v>2018</v>
      </c>
      <c r="B288" s="3">
        <v>324</v>
      </c>
      <c r="C288" s="3" t="str">
        <f>VLOOKUP(B288, '[1]DAR area codes'!A:B,2,FALSE)</f>
        <v>maui</v>
      </c>
      <c r="E288" s="6"/>
      <c r="F288" s="3">
        <v>0</v>
      </c>
      <c r="G288" s="3">
        <v>64337.47</v>
      </c>
    </row>
    <row r="289" spans="1:7" x14ac:dyDescent="0.2">
      <c r="A289" s="3">
        <v>2018</v>
      </c>
      <c r="B289" s="3">
        <v>325</v>
      </c>
      <c r="C289" s="3" t="str">
        <f>VLOOKUP(B289, '[1]DAR area codes'!A:B,2,FALSE)</f>
        <v>maui</v>
      </c>
      <c r="D289" s="4">
        <v>2726.9</v>
      </c>
      <c r="E289" s="6">
        <v>255.9</v>
      </c>
      <c r="F289" s="3">
        <v>0</v>
      </c>
      <c r="G289" s="3">
        <v>18616.759999999998</v>
      </c>
    </row>
    <row r="290" spans="1:7" x14ac:dyDescent="0.2">
      <c r="A290" s="3">
        <v>2018</v>
      </c>
      <c r="B290" s="3">
        <v>326</v>
      </c>
      <c r="C290" s="3" t="str">
        <f>VLOOKUP(B290, '[1]DAR area codes'!A:B,2,FALSE)</f>
        <v>maui</v>
      </c>
      <c r="E290" s="6"/>
      <c r="F290" s="3">
        <v>0</v>
      </c>
      <c r="G290" s="3">
        <v>7017.4</v>
      </c>
    </row>
    <row r="291" spans="1:7" x14ac:dyDescent="0.2">
      <c r="A291" s="3">
        <v>2018</v>
      </c>
      <c r="B291" s="3">
        <v>327</v>
      </c>
      <c r="C291" s="3" t="str">
        <f>VLOOKUP(B291, '[1]DAR area codes'!A:B,2,FALSE)</f>
        <v>maui</v>
      </c>
      <c r="D291" s="4">
        <v>26490.799999999999</v>
      </c>
      <c r="E291" s="6">
        <v>3902.3</v>
      </c>
      <c r="F291" s="3">
        <v>499.2</v>
      </c>
      <c r="G291" s="3">
        <v>48510.3</v>
      </c>
    </row>
    <row r="292" spans="1:7" x14ac:dyDescent="0.2">
      <c r="A292" s="3">
        <v>2018</v>
      </c>
      <c r="B292" s="3">
        <v>328</v>
      </c>
      <c r="C292" s="3" t="str">
        <f>VLOOKUP(B292, '[1]DAR area codes'!A:B,2,FALSE)</f>
        <v>maui</v>
      </c>
      <c r="D292" s="4">
        <v>2489.75</v>
      </c>
      <c r="E292" s="6">
        <v>448</v>
      </c>
      <c r="F292" s="3">
        <v>0</v>
      </c>
      <c r="G292" s="3">
        <v>56107.100000000006</v>
      </c>
    </row>
    <row r="293" spans="1:7" x14ac:dyDescent="0.2">
      <c r="A293" s="3">
        <v>2018</v>
      </c>
      <c r="B293" s="3">
        <v>331</v>
      </c>
      <c r="C293" s="3" t="str">
        <f>VLOOKUP(B293, '[1]DAR area codes'!A:B,2,FALSE)</f>
        <v>maui</v>
      </c>
      <c r="D293" s="4">
        <v>21494.15</v>
      </c>
      <c r="E293" s="6">
        <v>31788</v>
      </c>
      <c r="F293" s="3">
        <v>673.2</v>
      </c>
      <c r="G293" s="3">
        <v>28326.57</v>
      </c>
    </row>
    <row r="294" spans="1:7" x14ac:dyDescent="0.2">
      <c r="A294" s="3">
        <v>2018</v>
      </c>
      <c r="B294" s="3">
        <v>332</v>
      </c>
      <c r="C294" s="3" t="str">
        <f>VLOOKUP(B294, '[1]DAR area codes'!A:B,2,FALSE)</f>
        <v>maui</v>
      </c>
      <c r="E294" s="6"/>
      <c r="F294" s="3">
        <v>0</v>
      </c>
      <c r="G294" s="3">
        <v>5000</v>
      </c>
    </row>
    <row r="295" spans="1:7" x14ac:dyDescent="0.2">
      <c r="A295" s="3">
        <v>2018</v>
      </c>
      <c r="B295" s="3">
        <v>333</v>
      </c>
      <c r="C295" s="3" t="str">
        <f>VLOOKUP(B295, '[1]DAR area codes'!A:B,2,FALSE)</f>
        <v>maui</v>
      </c>
      <c r="D295" s="4">
        <v>894.2</v>
      </c>
      <c r="E295" s="6"/>
      <c r="F295" s="3">
        <v>0</v>
      </c>
      <c r="G295" s="3">
        <v>1536.31</v>
      </c>
    </row>
    <row r="296" spans="1:7" x14ac:dyDescent="0.2">
      <c r="A296" s="3">
        <v>2018</v>
      </c>
      <c r="B296" s="3">
        <v>400</v>
      </c>
      <c r="C296" s="3" t="str">
        <f>VLOOKUP(B296, '[1]DAR area codes'!A:B,2,FALSE)</f>
        <v>oahu</v>
      </c>
      <c r="E296" s="6">
        <v>1150.8900000000001</v>
      </c>
      <c r="F296" s="3">
        <v>18947</v>
      </c>
      <c r="G296" s="3">
        <v>144.5</v>
      </c>
    </row>
    <row r="297" spans="1:7" x14ac:dyDescent="0.2">
      <c r="A297" s="3">
        <v>2018</v>
      </c>
      <c r="B297" s="3">
        <v>401</v>
      </c>
      <c r="C297" s="3" t="str">
        <f>VLOOKUP(B297, '[1]DAR area codes'!A:B,2,FALSE)</f>
        <v>oahu</v>
      </c>
      <c r="E297" s="6">
        <v>760.5</v>
      </c>
      <c r="F297" s="3">
        <v>44433.52</v>
      </c>
      <c r="G297" s="3">
        <v>1026.45</v>
      </c>
    </row>
    <row r="298" spans="1:7" x14ac:dyDescent="0.2">
      <c r="A298" s="3">
        <v>2018</v>
      </c>
      <c r="B298" s="3">
        <v>402</v>
      </c>
      <c r="C298" s="3" t="str">
        <f>VLOOKUP(B298, '[1]DAR area codes'!A:B,2,FALSE)</f>
        <v>oahu</v>
      </c>
      <c r="D298" s="4">
        <v>110.7</v>
      </c>
      <c r="E298" s="6">
        <v>1293.56</v>
      </c>
      <c r="F298" s="3">
        <v>59456.87</v>
      </c>
      <c r="G298" s="3">
        <v>357.4</v>
      </c>
    </row>
    <row r="299" spans="1:7" x14ac:dyDescent="0.2">
      <c r="A299" s="3">
        <v>2018</v>
      </c>
      <c r="B299" s="3">
        <v>403</v>
      </c>
      <c r="C299" s="3" t="str">
        <f>VLOOKUP(B299, '[1]DAR area codes'!A:B,2,FALSE)</f>
        <v>oahu</v>
      </c>
      <c r="D299" s="4">
        <v>1696.92</v>
      </c>
      <c r="E299" s="6">
        <v>3371.75</v>
      </c>
      <c r="F299" s="3">
        <v>116105.87</v>
      </c>
      <c r="G299" s="3">
        <v>10278.799999999999</v>
      </c>
    </row>
    <row r="300" spans="1:7" x14ac:dyDescent="0.2">
      <c r="A300" s="3">
        <v>2018</v>
      </c>
      <c r="B300" s="3">
        <v>404</v>
      </c>
      <c r="C300" s="3" t="str">
        <f>VLOOKUP(B300, '[1]DAR area codes'!A:B,2,FALSE)</f>
        <v>oahu</v>
      </c>
      <c r="E300" s="6">
        <v>2056.15</v>
      </c>
      <c r="F300" s="3">
        <v>53406.180000000008</v>
      </c>
      <c r="G300" s="3">
        <v>1215</v>
      </c>
    </row>
    <row r="301" spans="1:7" x14ac:dyDescent="0.2">
      <c r="A301" s="3">
        <v>2018</v>
      </c>
      <c r="B301" s="3">
        <v>405</v>
      </c>
      <c r="C301" s="3" t="str">
        <f>VLOOKUP(B301, '[1]DAR area codes'!A:B,2,FALSE)</f>
        <v>oahu</v>
      </c>
      <c r="D301" s="4">
        <v>1233</v>
      </c>
      <c r="E301" s="6">
        <v>524.54999999999995</v>
      </c>
      <c r="F301" s="3">
        <v>29301.180000000004</v>
      </c>
      <c r="G301" s="3">
        <v>129</v>
      </c>
    </row>
    <row r="302" spans="1:7" x14ac:dyDescent="0.2">
      <c r="A302" s="3">
        <v>2018</v>
      </c>
      <c r="B302" s="3">
        <v>406</v>
      </c>
      <c r="C302" s="3" t="str">
        <f>VLOOKUP(B302, '[1]DAR area codes'!A:B,2,FALSE)</f>
        <v>oahu</v>
      </c>
      <c r="E302" s="6"/>
      <c r="F302" s="3">
        <v>30610.420000000006</v>
      </c>
      <c r="G302" s="3">
        <v>368.6</v>
      </c>
    </row>
    <row r="303" spans="1:7" x14ac:dyDescent="0.2">
      <c r="A303" s="3">
        <v>2018</v>
      </c>
      <c r="B303" s="3">
        <v>407</v>
      </c>
      <c r="C303" s="3" t="str">
        <f>VLOOKUP(B303, '[1]DAR area codes'!A:B,2,FALSE)</f>
        <v>oahu</v>
      </c>
      <c r="E303" s="6">
        <v>728.8</v>
      </c>
      <c r="F303" s="3">
        <v>18343.75</v>
      </c>
      <c r="G303" s="3">
        <v>2152</v>
      </c>
    </row>
    <row r="304" spans="1:7" x14ac:dyDescent="0.2">
      <c r="A304" s="3">
        <v>2018</v>
      </c>
      <c r="B304" s="3">
        <v>408</v>
      </c>
      <c r="C304" s="3" t="str">
        <f>VLOOKUP(B304, '[1]DAR area codes'!A:B,2,FALSE)</f>
        <v>oahu</v>
      </c>
      <c r="E304" s="6">
        <v>122.5</v>
      </c>
      <c r="F304" s="3">
        <v>1160.1399999999999</v>
      </c>
      <c r="G304" s="3">
        <v>212</v>
      </c>
    </row>
    <row r="305" spans="1:7" x14ac:dyDescent="0.2">
      <c r="A305" s="3">
        <v>2018</v>
      </c>
      <c r="B305" s="3">
        <v>409</v>
      </c>
      <c r="C305" s="3" t="str">
        <f>VLOOKUP(B305, '[1]DAR area codes'!A:B,2,FALSE)</f>
        <v>oahu</v>
      </c>
      <c r="D305" s="4">
        <v>449</v>
      </c>
      <c r="E305" s="6">
        <v>258.5</v>
      </c>
      <c r="F305" s="3">
        <v>14092.54</v>
      </c>
      <c r="G305" s="3">
        <v>1271</v>
      </c>
    </row>
    <row r="306" spans="1:7" x14ac:dyDescent="0.2">
      <c r="A306" s="3">
        <v>2018</v>
      </c>
      <c r="B306" s="3">
        <v>420</v>
      </c>
      <c r="C306" s="3" t="str">
        <f>VLOOKUP(B306, '[1]DAR area codes'!A:B,2,FALSE)</f>
        <v>oahu</v>
      </c>
      <c r="D306" s="4">
        <v>43.7</v>
      </c>
      <c r="E306" s="6"/>
      <c r="F306" s="3">
        <v>3201</v>
      </c>
      <c r="G306" s="3">
        <v>12700.5</v>
      </c>
    </row>
    <row r="307" spans="1:7" x14ac:dyDescent="0.2">
      <c r="A307" s="3">
        <v>2018</v>
      </c>
      <c r="B307" s="3">
        <v>421</v>
      </c>
      <c r="C307" s="3" t="str">
        <f>VLOOKUP(B307, '[1]DAR area codes'!A:B,2,FALSE)</f>
        <v>oahu</v>
      </c>
      <c r="D307" s="4">
        <v>90</v>
      </c>
      <c r="E307" s="6"/>
      <c r="F307" s="3">
        <v>0</v>
      </c>
      <c r="G307" s="3">
        <v>66669.099999999991</v>
      </c>
    </row>
    <row r="308" spans="1:7" x14ac:dyDescent="0.2">
      <c r="A308" s="3">
        <v>2018</v>
      </c>
      <c r="B308" s="3">
        <v>422</v>
      </c>
      <c r="C308" s="3" t="str">
        <f>VLOOKUP(B308, '[1]DAR area codes'!A:B,2,FALSE)</f>
        <v>oahu</v>
      </c>
      <c r="E308" s="6"/>
      <c r="F308" s="3">
        <v>84.5</v>
      </c>
      <c r="G308" s="3">
        <v>69560.800000000003</v>
      </c>
    </row>
    <row r="309" spans="1:7" x14ac:dyDescent="0.2">
      <c r="A309" s="3">
        <v>2018</v>
      </c>
      <c r="B309" s="3">
        <v>423</v>
      </c>
      <c r="C309" s="3" t="str">
        <f>VLOOKUP(B309, '[1]DAR area codes'!A:B,2,FALSE)</f>
        <v>oahu</v>
      </c>
      <c r="D309" s="4">
        <v>1895</v>
      </c>
      <c r="E309" s="6">
        <v>649.9</v>
      </c>
      <c r="F309" s="3">
        <v>16937.399999999998</v>
      </c>
      <c r="G309" s="3">
        <v>170039.35</v>
      </c>
    </row>
    <row r="310" spans="1:7" x14ac:dyDescent="0.2">
      <c r="A310" s="3">
        <v>2018</v>
      </c>
      <c r="B310" s="3">
        <v>424</v>
      </c>
      <c r="C310" s="3" t="str">
        <f>VLOOKUP(B310, '[1]DAR area codes'!A:B,2,FALSE)</f>
        <v>oahu</v>
      </c>
      <c r="E310" s="6">
        <v>401.8</v>
      </c>
      <c r="F310" s="3">
        <v>4903.5</v>
      </c>
      <c r="G310" s="3">
        <v>57033.32</v>
      </c>
    </row>
    <row r="311" spans="1:7" x14ac:dyDescent="0.2">
      <c r="A311" s="3">
        <v>2018</v>
      </c>
      <c r="B311" s="3">
        <v>425</v>
      </c>
      <c r="C311" s="3" t="str">
        <f>VLOOKUP(B311, '[1]DAR area codes'!A:B,2,FALSE)</f>
        <v>oahu</v>
      </c>
      <c r="D311" s="4">
        <v>784</v>
      </c>
      <c r="E311" s="6"/>
      <c r="F311" s="3">
        <v>0</v>
      </c>
      <c r="G311" s="3">
        <v>64890.8</v>
      </c>
    </row>
    <row r="312" spans="1:7" x14ac:dyDescent="0.2">
      <c r="A312" s="3">
        <v>2018</v>
      </c>
      <c r="B312" s="3">
        <v>426</v>
      </c>
      <c r="C312" s="3" t="str">
        <f>VLOOKUP(B312, '[1]DAR area codes'!A:B,2,FALSE)</f>
        <v>oahu</v>
      </c>
      <c r="E312" s="6"/>
      <c r="F312" s="3">
        <v>0</v>
      </c>
      <c r="G312" s="3">
        <v>69598.3</v>
      </c>
    </row>
    <row r="313" spans="1:7" x14ac:dyDescent="0.2">
      <c r="A313" s="3">
        <v>2018</v>
      </c>
      <c r="B313" s="3">
        <v>427</v>
      </c>
      <c r="C313" s="3" t="str">
        <f>VLOOKUP(B313, '[1]DAR area codes'!A:B,2,FALSE)</f>
        <v>oahu</v>
      </c>
      <c r="D313" s="4">
        <v>310.5</v>
      </c>
      <c r="E313" s="6"/>
      <c r="F313" s="3">
        <v>354</v>
      </c>
      <c r="G313" s="3">
        <v>92638.2</v>
      </c>
    </row>
    <row r="314" spans="1:7" x14ac:dyDescent="0.2">
      <c r="A314" s="3">
        <v>2018</v>
      </c>
      <c r="B314" s="3">
        <v>428</v>
      </c>
      <c r="C314" s="3" t="str">
        <f>VLOOKUP(B314, '[1]DAR area codes'!A:B,2,FALSE)</f>
        <v>oahu</v>
      </c>
      <c r="E314" s="6"/>
      <c r="F314" s="3">
        <v>261.39999999999998</v>
      </c>
      <c r="G314" s="3">
        <v>20509</v>
      </c>
    </row>
    <row r="315" spans="1:7" x14ac:dyDescent="0.2">
      <c r="A315" s="3">
        <v>2018</v>
      </c>
      <c r="B315" s="3">
        <v>429</v>
      </c>
      <c r="C315" s="3" t="str">
        <f>VLOOKUP(B315, '[1]DAR area codes'!A:B,2,FALSE)</f>
        <v>oahu</v>
      </c>
      <c r="D315" s="4">
        <v>1230.0999999999999</v>
      </c>
      <c r="E315" s="6">
        <v>673</v>
      </c>
      <c r="F315" s="3">
        <v>23</v>
      </c>
      <c r="G315" s="3">
        <v>5781.5</v>
      </c>
    </row>
    <row r="316" spans="1:7" x14ac:dyDescent="0.2">
      <c r="A316" s="3">
        <v>2018</v>
      </c>
      <c r="B316" s="3">
        <v>500</v>
      </c>
      <c r="C316" s="3" t="str">
        <f>VLOOKUP(B316, '[1]DAR area codes'!A:B,2,FALSE)</f>
        <v>kauai</v>
      </c>
      <c r="E316" s="6">
        <v>5715.2</v>
      </c>
      <c r="F316" s="3">
        <v>18702.3</v>
      </c>
      <c r="G316" s="3">
        <v>4332.3999999999996</v>
      </c>
    </row>
    <row r="317" spans="1:7" x14ac:dyDescent="0.2">
      <c r="A317" s="3">
        <v>2018</v>
      </c>
      <c r="B317" s="3">
        <v>501</v>
      </c>
      <c r="C317" s="3" t="str">
        <f>VLOOKUP(B317, '[1]DAR area codes'!A:B,2,FALSE)</f>
        <v>kauai</v>
      </c>
      <c r="E317" s="6">
        <v>2910</v>
      </c>
      <c r="F317" s="3">
        <v>17789.379999999997</v>
      </c>
      <c r="G317" s="3">
        <v>0</v>
      </c>
    </row>
    <row r="318" spans="1:7" x14ac:dyDescent="0.2">
      <c r="A318" s="3">
        <v>2018</v>
      </c>
      <c r="B318" s="3">
        <v>502</v>
      </c>
      <c r="C318" s="3" t="str">
        <f>VLOOKUP(B318, '[1]DAR area codes'!A:B,2,FALSE)</f>
        <v>kauai</v>
      </c>
      <c r="E318" s="6"/>
      <c r="F318" s="3">
        <v>1119.5</v>
      </c>
      <c r="G318" s="3">
        <v>0</v>
      </c>
    </row>
    <row r="319" spans="1:7" x14ac:dyDescent="0.2">
      <c r="A319" s="3">
        <v>2018</v>
      </c>
      <c r="B319" s="3">
        <v>503</v>
      </c>
      <c r="C319" s="3" t="str">
        <f>VLOOKUP(B319, '[1]DAR area codes'!A:B,2,FALSE)</f>
        <v>kauai</v>
      </c>
      <c r="E319" s="6"/>
      <c r="F319" s="3">
        <v>1019.76</v>
      </c>
      <c r="G319" s="3">
        <v>197</v>
      </c>
    </row>
    <row r="320" spans="1:7" x14ac:dyDescent="0.2">
      <c r="A320" s="3">
        <v>2018</v>
      </c>
      <c r="B320" s="3">
        <v>504</v>
      </c>
      <c r="C320" s="3" t="str">
        <f>VLOOKUP(B320, '[1]DAR area codes'!A:B,2,FALSE)</f>
        <v>kauai</v>
      </c>
      <c r="D320" s="4">
        <v>892.03</v>
      </c>
      <c r="E320" s="6">
        <v>1670.25</v>
      </c>
      <c r="F320" s="3">
        <v>2620.25</v>
      </c>
      <c r="G320" s="3">
        <v>27232.5</v>
      </c>
    </row>
    <row r="321" spans="1:7" x14ac:dyDescent="0.2">
      <c r="A321" s="3">
        <v>2018</v>
      </c>
      <c r="B321" s="3">
        <v>505</v>
      </c>
      <c r="C321" s="3" t="str">
        <f>VLOOKUP(B321, '[1]DAR area codes'!A:B,2,FALSE)</f>
        <v>kauai</v>
      </c>
      <c r="D321" s="4">
        <v>434</v>
      </c>
      <c r="E321" s="6">
        <v>4830.3999999999996</v>
      </c>
      <c r="F321" s="3">
        <v>2034.2</v>
      </c>
      <c r="G321" s="3">
        <v>3088</v>
      </c>
    </row>
    <row r="322" spans="1:7" x14ac:dyDescent="0.2">
      <c r="A322" s="3">
        <v>2018</v>
      </c>
      <c r="B322" s="3">
        <v>506</v>
      </c>
      <c r="C322" s="3" t="str">
        <f>VLOOKUP(B322, '[1]DAR area codes'!A:B,2,FALSE)</f>
        <v>kauai</v>
      </c>
      <c r="E322" s="6">
        <v>5347.1</v>
      </c>
      <c r="F322" s="3">
        <v>1558.5</v>
      </c>
      <c r="G322" s="3">
        <v>3495</v>
      </c>
    </row>
    <row r="323" spans="1:7" x14ac:dyDescent="0.2">
      <c r="A323" s="3">
        <v>2018</v>
      </c>
      <c r="B323" s="3">
        <v>507</v>
      </c>
      <c r="C323" s="3" t="str">
        <f>VLOOKUP(B323, '[1]DAR area codes'!A:B,2,FALSE)</f>
        <v>kauai</v>
      </c>
      <c r="E323" s="6"/>
      <c r="F323" s="3">
        <v>0</v>
      </c>
      <c r="G323" s="3">
        <v>0</v>
      </c>
    </row>
    <row r="324" spans="1:7" x14ac:dyDescent="0.2">
      <c r="A324" s="3">
        <v>2018</v>
      </c>
      <c r="B324" s="3">
        <v>508</v>
      </c>
      <c r="C324" s="3" t="str">
        <f>VLOOKUP(B324, '[1]DAR area codes'!A:B,2,FALSE)</f>
        <v>kauai</v>
      </c>
      <c r="D324" s="4">
        <v>1382</v>
      </c>
      <c r="E324" s="6"/>
      <c r="F324" s="3">
        <v>0</v>
      </c>
      <c r="G324" s="3">
        <v>15635</v>
      </c>
    </row>
    <row r="325" spans="1:7" x14ac:dyDescent="0.2">
      <c r="A325" s="3">
        <v>2018</v>
      </c>
      <c r="B325" s="3">
        <v>520</v>
      </c>
      <c r="C325" s="3" t="str">
        <f>VLOOKUP(B325, '[1]DAR area codes'!A:B,2,FALSE)</f>
        <v>kauai</v>
      </c>
      <c r="D325" s="4">
        <v>302.60000000000002</v>
      </c>
      <c r="E325" s="6">
        <v>422.9</v>
      </c>
      <c r="F325" s="3">
        <v>2618.2999999999997</v>
      </c>
      <c r="G325" s="3">
        <v>195655.30000000002</v>
      </c>
    </row>
    <row r="326" spans="1:7" x14ac:dyDescent="0.2">
      <c r="A326" s="3">
        <v>2018</v>
      </c>
      <c r="B326" s="3">
        <v>521</v>
      </c>
      <c r="C326" s="3" t="str">
        <f>VLOOKUP(B326, '[1]DAR area codes'!A:B,2,FALSE)</f>
        <v>kauai</v>
      </c>
      <c r="D326" s="4">
        <v>769</v>
      </c>
      <c r="E326" s="6">
        <v>1820.2</v>
      </c>
      <c r="F326" s="3">
        <v>2565</v>
      </c>
      <c r="G326" s="3">
        <v>26840.9</v>
      </c>
    </row>
    <row r="327" spans="1:7" x14ac:dyDescent="0.2">
      <c r="A327" s="3">
        <v>2018</v>
      </c>
      <c r="B327" s="3">
        <v>522</v>
      </c>
      <c r="C327" s="3" t="str">
        <f>VLOOKUP(B327, '[1]DAR area codes'!A:B,2,FALSE)</f>
        <v>kauai</v>
      </c>
      <c r="E327" s="6"/>
      <c r="F327" s="3">
        <v>0</v>
      </c>
      <c r="G327" s="3">
        <v>21394.7</v>
      </c>
    </row>
    <row r="328" spans="1:7" x14ac:dyDescent="0.2">
      <c r="A328" s="3">
        <v>2018</v>
      </c>
      <c r="B328" s="3">
        <v>523</v>
      </c>
      <c r="C328" s="3" t="str">
        <f>VLOOKUP(B328, '[1]DAR area codes'!A:B,2,FALSE)</f>
        <v>kauai</v>
      </c>
      <c r="E328" s="6"/>
      <c r="F328" s="3">
        <v>0</v>
      </c>
      <c r="G328" s="3">
        <v>46072.800000000003</v>
      </c>
    </row>
    <row r="329" spans="1:7" x14ac:dyDescent="0.2">
      <c r="A329" s="3">
        <v>2018</v>
      </c>
      <c r="B329" s="3">
        <v>524</v>
      </c>
      <c r="C329" s="3" t="str">
        <f>VLOOKUP(B329, '[1]DAR area codes'!A:B,2,FALSE)</f>
        <v>kauai</v>
      </c>
      <c r="E329" s="6">
        <v>4940.3</v>
      </c>
      <c r="F329" s="3">
        <v>969.5</v>
      </c>
      <c r="G329" s="3">
        <v>253579.13</v>
      </c>
    </row>
    <row r="330" spans="1:7" x14ac:dyDescent="0.2">
      <c r="A330" s="3">
        <v>2018</v>
      </c>
      <c r="B330" s="3">
        <v>525</v>
      </c>
      <c r="C330" s="3" t="str">
        <f>VLOOKUP(B330, '[1]DAR area codes'!A:B,2,FALSE)</f>
        <v>kauai</v>
      </c>
      <c r="D330" s="4">
        <v>1602.4</v>
      </c>
      <c r="E330" s="6">
        <v>794.1</v>
      </c>
      <c r="F330" s="3">
        <v>0</v>
      </c>
      <c r="G330" s="3">
        <v>17288.400000000001</v>
      </c>
    </row>
    <row r="331" spans="1:7" x14ac:dyDescent="0.2">
      <c r="A331" s="3">
        <v>2018</v>
      </c>
      <c r="B331" s="3">
        <v>526</v>
      </c>
      <c r="C331" s="3" t="str">
        <f>VLOOKUP(B331, '[1]DAR area codes'!A:B,2,FALSE)</f>
        <v>kauai</v>
      </c>
      <c r="E331" s="6"/>
      <c r="F331" s="3">
        <v>0</v>
      </c>
      <c r="G331" s="3">
        <v>1197.9000000000001</v>
      </c>
    </row>
    <row r="332" spans="1:7" x14ac:dyDescent="0.2">
      <c r="A332" s="3">
        <v>2018</v>
      </c>
      <c r="B332" s="3">
        <v>527</v>
      </c>
      <c r="C332" s="3" t="str">
        <f>VLOOKUP(B332, '[1]DAR area codes'!A:B,2,FALSE)</f>
        <v>kauai</v>
      </c>
      <c r="E332" s="6"/>
      <c r="F332" s="3">
        <v>0</v>
      </c>
      <c r="G332" s="3">
        <v>0</v>
      </c>
    </row>
    <row r="333" spans="1:7" x14ac:dyDescent="0.2">
      <c r="A333" s="3">
        <v>2018</v>
      </c>
      <c r="B333" s="3">
        <v>528</v>
      </c>
      <c r="C333" s="3" t="str">
        <f>VLOOKUP(B333, '[1]DAR area codes'!A:B,2,FALSE)</f>
        <v>kauai</v>
      </c>
      <c r="E333" s="6"/>
      <c r="F333" s="3">
        <v>0</v>
      </c>
      <c r="G333" s="3">
        <v>7606</v>
      </c>
    </row>
    <row r="334" spans="1:7" x14ac:dyDescent="0.2">
      <c r="A334" s="3">
        <v>2017</v>
      </c>
      <c r="B334" s="3">
        <v>100</v>
      </c>
      <c r="C334" s="3" t="str">
        <f>VLOOKUP(B334, '[1]DAR area codes'!A:B,2,FALSE)</f>
        <v>hawaii</v>
      </c>
      <c r="D334" s="4">
        <v>2078.6</v>
      </c>
      <c r="E334" s="6">
        <v>435.9</v>
      </c>
      <c r="F334" s="3">
        <v>2637.35</v>
      </c>
      <c r="G334" s="3">
        <v>25413.87</v>
      </c>
    </row>
    <row r="335" spans="1:7" x14ac:dyDescent="0.2">
      <c r="A335" s="3">
        <v>2017</v>
      </c>
      <c r="B335" s="3">
        <v>101</v>
      </c>
      <c r="C335" s="3" t="str">
        <f>VLOOKUP(B335, '[1]DAR area codes'!A:B,2,FALSE)</f>
        <v>hawaii</v>
      </c>
      <c r="D335" s="4">
        <v>4198.53</v>
      </c>
      <c r="E335" s="6">
        <v>2084.9699999999998</v>
      </c>
      <c r="F335" s="3">
        <v>78255.739999999991</v>
      </c>
      <c r="G335" s="3">
        <v>97472.05</v>
      </c>
    </row>
    <row r="336" spans="1:7" x14ac:dyDescent="0.2">
      <c r="A336" s="3">
        <v>2017</v>
      </c>
      <c r="B336" s="3">
        <v>102</v>
      </c>
      <c r="C336" s="3" t="str">
        <f>VLOOKUP(B336, '[1]DAR area codes'!A:B,2,FALSE)</f>
        <v>hawaii</v>
      </c>
      <c r="D336" s="4">
        <v>2422.5</v>
      </c>
      <c r="E336" s="6">
        <v>10061.700000000001</v>
      </c>
      <c r="F336" s="3">
        <v>3354.0000000000005</v>
      </c>
      <c r="G336" s="3">
        <v>26562.6</v>
      </c>
    </row>
    <row r="337" spans="1:7" x14ac:dyDescent="0.2">
      <c r="A337" s="3">
        <v>2017</v>
      </c>
      <c r="B337" s="3">
        <v>103</v>
      </c>
      <c r="C337" s="3" t="str">
        <f>VLOOKUP(B337, '[1]DAR area codes'!A:B,2,FALSE)</f>
        <v>hawaii</v>
      </c>
      <c r="D337" s="4">
        <v>3049</v>
      </c>
      <c r="E337" s="6"/>
      <c r="F337" s="3">
        <v>379</v>
      </c>
      <c r="G337" s="3">
        <v>960.6</v>
      </c>
    </row>
    <row r="338" spans="1:7" x14ac:dyDescent="0.2">
      <c r="A338" s="3">
        <v>2017</v>
      </c>
      <c r="B338" s="3">
        <v>104</v>
      </c>
      <c r="C338" s="3" t="str">
        <f>VLOOKUP(B338, '[1]DAR area codes'!A:B,2,FALSE)</f>
        <v>hawaii</v>
      </c>
      <c r="D338" s="4">
        <v>3196.4</v>
      </c>
      <c r="E338" s="6"/>
      <c r="F338" s="3">
        <v>2636.5</v>
      </c>
      <c r="G338" s="3">
        <v>15767.8</v>
      </c>
    </row>
    <row r="339" spans="1:7" x14ac:dyDescent="0.2">
      <c r="A339" s="3">
        <v>2017</v>
      </c>
      <c r="B339" s="3">
        <v>105</v>
      </c>
      <c r="C339" s="3" t="str">
        <f>VLOOKUP(B339, '[1]DAR area codes'!A:B,2,FALSE)</f>
        <v>hawaii</v>
      </c>
      <c r="D339" s="4">
        <v>3235.2</v>
      </c>
      <c r="E339" s="6">
        <v>374.3</v>
      </c>
      <c r="F339" s="3">
        <v>3383.7</v>
      </c>
      <c r="G339" s="3">
        <v>9280.1</v>
      </c>
    </row>
    <row r="340" spans="1:7" x14ac:dyDescent="0.2">
      <c r="A340" s="3">
        <v>2017</v>
      </c>
      <c r="B340" s="3">
        <v>106</v>
      </c>
      <c r="C340" s="3" t="str">
        <f>VLOOKUP(B340, '[1]DAR area codes'!A:B,2,FALSE)</f>
        <v>hawaii</v>
      </c>
      <c r="D340" s="4">
        <v>3979.1</v>
      </c>
      <c r="E340" s="6">
        <v>718.6</v>
      </c>
      <c r="F340" s="3">
        <v>14629.01</v>
      </c>
      <c r="G340" s="3">
        <v>42097.3</v>
      </c>
    </row>
    <row r="341" spans="1:7" x14ac:dyDescent="0.2">
      <c r="A341" s="3">
        <v>2017</v>
      </c>
      <c r="B341" s="3">
        <v>107</v>
      </c>
      <c r="C341" s="3" t="str">
        <f>VLOOKUP(B341, '[1]DAR area codes'!A:B,2,FALSE)</f>
        <v>hawaii</v>
      </c>
      <c r="D341" s="4">
        <v>1182.0999999999999</v>
      </c>
      <c r="E341" s="6">
        <v>619.79999999999995</v>
      </c>
      <c r="F341" s="3">
        <v>6148.87</v>
      </c>
      <c r="G341" s="3">
        <v>37736.6</v>
      </c>
    </row>
    <row r="342" spans="1:7" x14ac:dyDescent="0.2">
      <c r="A342" s="3">
        <v>2017</v>
      </c>
      <c r="B342" s="3">
        <v>108</v>
      </c>
      <c r="C342" s="3" t="str">
        <f>VLOOKUP(B342, '[1]DAR area codes'!A:B,2,FALSE)</f>
        <v>hawaii</v>
      </c>
      <c r="D342" s="4">
        <v>2191</v>
      </c>
      <c r="E342" s="6">
        <v>642.6</v>
      </c>
      <c r="F342" s="3">
        <v>1274.8399999999999</v>
      </c>
      <c r="G342" s="3">
        <v>35841.5</v>
      </c>
    </row>
    <row r="343" spans="1:7" x14ac:dyDescent="0.2">
      <c r="A343" s="3">
        <v>2017</v>
      </c>
      <c r="B343" s="3">
        <v>120</v>
      </c>
      <c r="C343" s="3" t="str">
        <f>VLOOKUP(B343, '[1]DAR area codes'!A:B,2,FALSE)</f>
        <v>hawaii</v>
      </c>
      <c r="D343" s="4">
        <v>2318.5</v>
      </c>
      <c r="E343" s="6"/>
      <c r="F343" s="3">
        <v>2831.15</v>
      </c>
      <c r="G343" s="3">
        <v>31467.3</v>
      </c>
    </row>
    <row r="344" spans="1:7" x14ac:dyDescent="0.2">
      <c r="A344" s="3">
        <v>2017</v>
      </c>
      <c r="B344" s="3">
        <v>121</v>
      </c>
      <c r="C344" s="3" t="str">
        <f>VLOOKUP(B344, '[1]DAR area codes'!A:B,2,FALSE)</f>
        <v>hawaii</v>
      </c>
      <c r="D344" s="4">
        <v>10182.39</v>
      </c>
      <c r="E344" s="6">
        <v>1301.5999999999999</v>
      </c>
      <c r="F344" s="3">
        <v>14193.94</v>
      </c>
      <c r="G344" s="3">
        <v>621044.36</v>
      </c>
    </row>
    <row r="345" spans="1:7" x14ac:dyDescent="0.2">
      <c r="A345" s="3">
        <v>2017</v>
      </c>
      <c r="B345" s="3">
        <v>122</v>
      </c>
      <c r="C345" s="3" t="str">
        <f>VLOOKUP(B345, '[1]DAR area codes'!A:B,2,FALSE)</f>
        <v>hawaii</v>
      </c>
      <c r="D345" s="4">
        <v>23847.3</v>
      </c>
      <c r="E345" s="6">
        <v>6770.6</v>
      </c>
      <c r="F345" s="3">
        <v>784.5</v>
      </c>
      <c r="G345" s="3">
        <v>133468.4</v>
      </c>
    </row>
    <row r="346" spans="1:7" x14ac:dyDescent="0.2">
      <c r="A346" s="3">
        <v>2017</v>
      </c>
      <c r="B346" s="3">
        <v>123</v>
      </c>
      <c r="C346" s="3" t="str">
        <f>VLOOKUP(B346, '[1]DAR area codes'!A:B,2,FALSE)</f>
        <v>hawaii</v>
      </c>
      <c r="E346" s="6"/>
      <c r="F346" s="3">
        <v>0</v>
      </c>
      <c r="G346" s="3">
        <v>1917.7</v>
      </c>
    </row>
    <row r="347" spans="1:7" x14ac:dyDescent="0.2">
      <c r="A347" s="3">
        <v>2017</v>
      </c>
      <c r="B347" s="3">
        <v>124</v>
      </c>
      <c r="C347" s="3" t="str">
        <f>VLOOKUP(B347, '[1]DAR area codes'!A:B,2,FALSE)</f>
        <v>hawaii</v>
      </c>
      <c r="E347" s="6"/>
      <c r="F347" s="3">
        <v>0</v>
      </c>
      <c r="G347" s="3">
        <v>8360.5</v>
      </c>
    </row>
    <row r="348" spans="1:7" x14ac:dyDescent="0.2">
      <c r="A348" s="3">
        <v>2017</v>
      </c>
      <c r="B348" s="3">
        <v>125</v>
      </c>
      <c r="C348" s="3" t="str">
        <f>VLOOKUP(B348, '[1]DAR area codes'!A:B,2,FALSE)</f>
        <v>hawaii</v>
      </c>
      <c r="D348" s="4">
        <v>2257.5</v>
      </c>
      <c r="E348" s="6">
        <v>355.9</v>
      </c>
      <c r="F348" s="3">
        <v>1111.3</v>
      </c>
      <c r="G348" s="3">
        <v>254106.14</v>
      </c>
    </row>
    <row r="349" spans="1:7" x14ac:dyDescent="0.2">
      <c r="A349" s="3">
        <v>2017</v>
      </c>
      <c r="B349" s="3">
        <v>126</v>
      </c>
      <c r="C349" s="3" t="str">
        <f>VLOOKUP(B349, '[1]DAR area codes'!A:B,2,FALSE)</f>
        <v>hawaii</v>
      </c>
      <c r="D349" s="4">
        <v>1011.3</v>
      </c>
      <c r="E349" s="6">
        <v>326.7</v>
      </c>
      <c r="F349" s="3">
        <v>2423.2999999999997</v>
      </c>
      <c r="G349" s="3">
        <v>202052.59</v>
      </c>
    </row>
    <row r="350" spans="1:7" x14ac:dyDescent="0.2">
      <c r="A350" s="3">
        <v>2017</v>
      </c>
      <c r="B350" s="3">
        <v>127</v>
      </c>
      <c r="C350" s="3" t="str">
        <f>VLOOKUP(B350, '[1]DAR area codes'!A:B,2,FALSE)</f>
        <v>hawaii</v>
      </c>
      <c r="D350" s="4">
        <v>2502.3000000000002</v>
      </c>
      <c r="E350" s="6">
        <v>183.7</v>
      </c>
      <c r="F350" s="3">
        <v>172.3</v>
      </c>
      <c r="G350" s="3">
        <v>32800.1</v>
      </c>
    </row>
    <row r="351" spans="1:7" x14ac:dyDescent="0.2">
      <c r="A351" s="3">
        <v>2017</v>
      </c>
      <c r="B351" s="3">
        <v>128</v>
      </c>
      <c r="C351" s="3" t="str">
        <f>VLOOKUP(B351, '[1]DAR area codes'!A:B,2,FALSE)</f>
        <v>hawaii</v>
      </c>
      <c r="D351" s="4">
        <v>1314.4</v>
      </c>
      <c r="E351" s="6">
        <v>1045.0999999999999</v>
      </c>
      <c r="F351" s="3">
        <v>0</v>
      </c>
      <c r="G351" s="3">
        <v>42871.83</v>
      </c>
    </row>
    <row r="352" spans="1:7" x14ac:dyDescent="0.2">
      <c r="A352" s="3">
        <v>2017</v>
      </c>
      <c r="B352" s="3">
        <v>300</v>
      </c>
      <c r="C352" s="3" t="str">
        <f>VLOOKUP(B352, '[1]DAR area codes'!A:B,2,FALSE)</f>
        <v>maui</v>
      </c>
      <c r="E352" s="6">
        <v>2761.95</v>
      </c>
      <c r="F352" s="3">
        <v>46151.25</v>
      </c>
      <c r="G352" s="3">
        <v>3512.2000000000003</v>
      </c>
    </row>
    <row r="353" spans="1:7" x14ac:dyDescent="0.2">
      <c r="A353" s="3">
        <v>2017</v>
      </c>
      <c r="B353" s="3">
        <v>301</v>
      </c>
      <c r="C353" s="3" t="str">
        <f>VLOOKUP(B353, '[1]DAR area codes'!A:B,2,FALSE)</f>
        <v>maui</v>
      </c>
      <c r="E353" s="6"/>
      <c r="F353" s="3">
        <v>1587.21</v>
      </c>
      <c r="G353" s="3">
        <v>0</v>
      </c>
    </row>
    <row r="354" spans="1:7" x14ac:dyDescent="0.2">
      <c r="A354" s="3">
        <v>2017</v>
      </c>
      <c r="B354" s="3">
        <v>302</v>
      </c>
      <c r="C354" s="3" t="str">
        <f>VLOOKUP(B354, '[1]DAR area codes'!A:B,2,FALSE)</f>
        <v>maui</v>
      </c>
      <c r="D354" s="4">
        <v>2165.1999999999998</v>
      </c>
      <c r="E354" s="6"/>
      <c r="F354" s="3">
        <v>7759.1</v>
      </c>
      <c r="G354" s="3">
        <v>171.7</v>
      </c>
    </row>
    <row r="355" spans="1:7" x14ac:dyDescent="0.2">
      <c r="A355" s="3">
        <v>2017</v>
      </c>
      <c r="B355" s="3">
        <v>303</v>
      </c>
      <c r="C355" s="3" t="str">
        <f>VLOOKUP(B355, '[1]DAR area codes'!A:B,2,FALSE)</f>
        <v>maui</v>
      </c>
      <c r="D355" s="4">
        <v>1033</v>
      </c>
      <c r="E355" s="6">
        <v>707.2</v>
      </c>
      <c r="F355" s="3">
        <v>746.1</v>
      </c>
      <c r="G355" s="3">
        <v>302.8</v>
      </c>
    </row>
    <row r="356" spans="1:7" x14ac:dyDescent="0.2">
      <c r="A356" s="3">
        <v>2017</v>
      </c>
      <c r="B356" s="3">
        <v>304</v>
      </c>
      <c r="C356" s="3" t="str">
        <f>VLOOKUP(B356, '[1]DAR area codes'!A:B,2,FALSE)</f>
        <v>maui</v>
      </c>
      <c r="D356" s="4">
        <v>3494.6</v>
      </c>
      <c r="E356" s="6">
        <v>1828.6</v>
      </c>
      <c r="F356" s="3">
        <v>36.5</v>
      </c>
      <c r="G356" s="3">
        <v>3327.5</v>
      </c>
    </row>
    <row r="357" spans="1:7" x14ac:dyDescent="0.2">
      <c r="A357" s="3">
        <v>2017</v>
      </c>
      <c r="B357" s="3">
        <v>305</v>
      </c>
      <c r="C357" s="3" t="str">
        <f>VLOOKUP(B357, '[1]DAR area codes'!A:B,2,FALSE)</f>
        <v>maui</v>
      </c>
      <c r="D357" s="4">
        <v>8551.5</v>
      </c>
      <c r="E357" s="6">
        <v>707.2</v>
      </c>
      <c r="F357" s="3">
        <v>379.9</v>
      </c>
      <c r="G357" s="3">
        <v>3076.26</v>
      </c>
    </row>
    <row r="358" spans="1:7" x14ac:dyDescent="0.2">
      <c r="A358" s="3">
        <v>2017</v>
      </c>
      <c r="B358" s="3">
        <v>306</v>
      </c>
      <c r="C358" s="3" t="str">
        <f>VLOOKUP(B358, '[1]DAR area codes'!A:B,2,FALSE)</f>
        <v>maui</v>
      </c>
      <c r="E358" s="6"/>
      <c r="F358" s="3">
        <v>0</v>
      </c>
      <c r="G358" s="3">
        <v>196</v>
      </c>
    </row>
    <row r="359" spans="1:7" x14ac:dyDescent="0.2">
      <c r="A359" s="3">
        <v>2017</v>
      </c>
      <c r="B359" s="3">
        <v>307</v>
      </c>
      <c r="C359" s="3" t="str">
        <f>VLOOKUP(B359, '[1]DAR area codes'!A:B,2,FALSE)</f>
        <v>maui</v>
      </c>
      <c r="E359" s="6"/>
      <c r="F359" s="3">
        <v>0</v>
      </c>
      <c r="G359" s="3">
        <v>0</v>
      </c>
    </row>
    <row r="360" spans="1:7" x14ac:dyDescent="0.2">
      <c r="A360" s="3">
        <v>2017</v>
      </c>
      <c r="B360" s="3">
        <v>308</v>
      </c>
      <c r="C360" s="3" t="str">
        <f>VLOOKUP(B360, '[1]DAR area codes'!A:B,2,FALSE)</f>
        <v>maui</v>
      </c>
      <c r="D360" s="4">
        <v>689</v>
      </c>
      <c r="E360" s="6">
        <v>4194.7</v>
      </c>
      <c r="F360" s="3">
        <v>1482.9</v>
      </c>
      <c r="G360" s="3">
        <v>6913.9</v>
      </c>
    </row>
    <row r="361" spans="1:7" x14ac:dyDescent="0.2">
      <c r="A361" s="3">
        <v>2017</v>
      </c>
      <c r="B361" s="3">
        <v>309</v>
      </c>
      <c r="C361" s="3" t="str">
        <f>VLOOKUP(B361, '[1]DAR area codes'!A:B,2,FALSE)</f>
        <v>maui</v>
      </c>
      <c r="E361" s="6"/>
      <c r="F361" s="3">
        <v>0</v>
      </c>
      <c r="G361" s="3">
        <v>0</v>
      </c>
    </row>
    <row r="362" spans="1:7" x14ac:dyDescent="0.2">
      <c r="A362" s="3">
        <v>2017</v>
      </c>
      <c r="B362" s="3">
        <v>310</v>
      </c>
      <c r="C362" s="3" t="str">
        <f>VLOOKUP(B362, '[1]DAR area codes'!A:B,2,FALSE)</f>
        <v>maui</v>
      </c>
      <c r="D362" s="4">
        <v>5275</v>
      </c>
      <c r="E362" s="6">
        <v>375</v>
      </c>
      <c r="F362" s="3">
        <v>838.5</v>
      </c>
      <c r="G362" s="3">
        <v>0</v>
      </c>
    </row>
    <row r="363" spans="1:7" x14ac:dyDescent="0.2">
      <c r="A363" s="3">
        <v>2017</v>
      </c>
      <c r="B363" s="3">
        <v>311</v>
      </c>
      <c r="C363" s="3" t="str">
        <f>VLOOKUP(B363, '[1]DAR area codes'!A:B,2,FALSE)</f>
        <v>maui</v>
      </c>
      <c r="E363" s="6">
        <v>254.7</v>
      </c>
      <c r="F363" s="3">
        <v>646</v>
      </c>
      <c r="G363" s="3">
        <v>97.2</v>
      </c>
    </row>
    <row r="364" spans="1:7" x14ac:dyDescent="0.2">
      <c r="A364" s="3">
        <v>2017</v>
      </c>
      <c r="B364" s="3">
        <v>312</v>
      </c>
      <c r="C364" s="3" t="str">
        <f>VLOOKUP(B364, '[1]DAR area codes'!A:B,2,FALSE)</f>
        <v>maui</v>
      </c>
      <c r="D364" s="4">
        <v>479.5</v>
      </c>
      <c r="E364" s="6"/>
      <c r="F364" s="3">
        <v>2739.68</v>
      </c>
      <c r="G364" s="3">
        <v>305</v>
      </c>
    </row>
    <row r="365" spans="1:7" x14ac:dyDescent="0.2">
      <c r="A365" s="3">
        <v>2017</v>
      </c>
      <c r="B365" s="3">
        <v>313</v>
      </c>
      <c r="C365" s="3" t="str">
        <f>VLOOKUP(B365, '[1]DAR area codes'!A:B,2,FALSE)</f>
        <v>maui</v>
      </c>
      <c r="D365" s="4">
        <v>13307.92</v>
      </c>
      <c r="E365" s="6">
        <v>492.3</v>
      </c>
      <c r="F365" s="3">
        <v>189.39999999999998</v>
      </c>
      <c r="G365" s="3">
        <v>540.9</v>
      </c>
    </row>
    <row r="366" spans="1:7" x14ac:dyDescent="0.2">
      <c r="A366" s="3">
        <v>2017</v>
      </c>
      <c r="B366" s="3">
        <v>314</v>
      </c>
      <c r="C366" s="3" t="str">
        <f>VLOOKUP(B366, '[1]DAR area codes'!A:B,2,FALSE)</f>
        <v>maui</v>
      </c>
      <c r="E366" s="6"/>
      <c r="F366" s="3">
        <v>0</v>
      </c>
      <c r="G366" s="3">
        <v>163.80000000000001</v>
      </c>
    </row>
    <row r="367" spans="1:7" x14ac:dyDescent="0.2">
      <c r="A367" s="3">
        <v>2017</v>
      </c>
      <c r="B367" s="3">
        <v>320</v>
      </c>
      <c r="C367" s="3" t="str">
        <f>VLOOKUP(B367, '[1]DAR area codes'!A:B,2,FALSE)</f>
        <v>maui</v>
      </c>
      <c r="D367" s="4">
        <v>37215</v>
      </c>
      <c r="E367" s="6">
        <v>20611.150000000001</v>
      </c>
      <c r="F367" s="3">
        <v>8260.1</v>
      </c>
      <c r="G367" s="3">
        <v>19093.25</v>
      </c>
    </row>
    <row r="368" spans="1:7" x14ac:dyDescent="0.2">
      <c r="A368" s="3">
        <v>2017</v>
      </c>
      <c r="B368" s="3">
        <v>321</v>
      </c>
      <c r="C368" s="3" t="str">
        <f>VLOOKUP(B368, '[1]DAR area codes'!A:B,2,FALSE)</f>
        <v>maui</v>
      </c>
      <c r="D368" s="4">
        <v>24393.1</v>
      </c>
      <c r="E368" s="6">
        <v>9802.41</v>
      </c>
      <c r="F368" s="3">
        <v>893.15</v>
      </c>
      <c r="G368" s="3">
        <v>809.47</v>
      </c>
    </row>
    <row r="369" spans="1:7" x14ac:dyDescent="0.2">
      <c r="A369" s="3">
        <v>2017</v>
      </c>
      <c r="B369" s="3">
        <v>322</v>
      </c>
      <c r="C369" s="3" t="str">
        <f>VLOOKUP(B369, '[1]DAR area codes'!A:B,2,FALSE)</f>
        <v>maui</v>
      </c>
      <c r="D369" s="4">
        <v>5499.8</v>
      </c>
      <c r="E369" s="6">
        <v>1071.8</v>
      </c>
      <c r="F369" s="3">
        <v>0</v>
      </c>
      <c r="G369" s="3">
        <v>46641.7</v>
      </c>
    </row>
    <row r="370" spans="1:7" x14ac:dyDescent="0.2">
      <c r="A370" s="3">
        <v>2017</v>
      </c>
      <c r="B370" s="3">
        <v>323</v>
      </c>
      <c r="C370" s="3" t="str">
        <f>VLOOKUP(B370, '[1]DAR area codes'!A:B,2,FALSE)</f>
        <v>maui</v>
      </c>
      <c r="E370" s="6"/>
      <c r="F370" s="3">
        <v>0</v>
      </c>
      <c r="G370" s="3">
        <v>82008.239999999991</v>
      </c>
    </row>
    <row r="371" spans="1:7" x14ac:dyDescent="0.2">
      <c r="A371" s="3">
        <v>2017</v>
      </c>
      <c r="B371" s="3">
        <v>324</v>
      </c>
      <c r="C371" s="3" t="str">
        <f>VLOOKUP(B371, '[1]DAR area codes'!A:B,2,FALSE)</f>
        <v>maui</v>
      </c>
      <c r="D371" s="4">
        <v>5101.8999999999996</v>
      </c>
      <c r="E371" s="6">
        <v>773.2</v>
      </c>
      <c r="F371" s="3">
        <v>0</v>
      </c>
      <c r="G371" s="3">
        <v>75223.600000000006</v>
      </c>
    </row>
    <row r="372" spans="1:7" x14ac:dyDescent="0.2">
      <c r="A372" s="3">
        <v>2017</v>
      </c>
      <c r="B372" s="3">
        <v>325</v>
      </c>
      <c r="C372" s="3" t="str">
        <f>VLOOKUP(B372, '[1]DAR area codes'!A:B,2,FALSE)</f>
        <v>maui</v>
      </c>
      <c r="D372" s="4">
        <v>4226.3</v>
      </c>
      <c r="E372" s="6">
        <v>698.1</v>
      </c>
      <c r="F372" s="3">
        <v>111</v>
      </c>
      <c r="G372" s="3">
        <v>11333.14</v>
      </c>
    </row>
    <row r="373" spans="1:7" x14ac:dyDescent="0.2">
      <c r="A373" s="3">
        <v>2017</v>
      </c>
      <c r="B373" s="3">
        <v>326</v>
      </c>
      <c r="C373" s="3" t="str">
        <f>VLOOKUP(B373, '[1]DAR area codes'!A:B,2,FALSE)</f>
        <v>maui</v>
      </c>
      <c r="E373" s="6"/>
      <c r="F373" s="3">
        <v>0</v>
      </c>
      <c r="G373" s="3">
        <v>22707.7</v>
      </c>
    </row>
    <row r="374" spans="1:7" x14ac:dyDescent="0.2">
      <c r="A374" s="3">
        <v>2017</v>
      </c>
      <c r="B374" s="3">
        <v>327</v>
      </c>
      <c r="C374" s="3" t="str">
        <f>VLOOKUP(B374, '[1]DAR area codes'!A:B,2,FALSE)</f>
        <v>maui</v>
      </c>
      <c r="D374" s="4">
        <v>19222.7</v>
      </c>
      <c r="E374" s="6">
        <v>8974.4</v>
      </c>
      <c r="F374" s="3">
        <v>32</v>
      </c>
      <c r="G374" s="3">
        <v>29647.7</v>
      </c>
    </row>
    <row r="375" spans="1:7" x14ac:dyDescent="0.2">
      <c r="A375" s="3">
        <v>2017</v>
      </c>
      <c r="B375" s="3">
        <v>328</v>
      </c>
      <c r="C375" s="3" t="str">
        <f>VLOOKUP(B375, '[1]DAR area codes'!A:B,2,FALSE)</f>
        <v>maui</v>
      </c>
      <c r="D375" s="4">
        <v>1224.9000000000001</v>
      </c>
      <c r="E375" s="6">
        <v>1086.3</v>
      </c>
      <c r="F375" s="3">
        <v>0</v>
      </c>
      <c r="G375" s="3">
        <v>33361.599999999999</v>
      </c>
    </row>
    <row r="376" spans="1:7" x14ac:dyDescent="0.2">
      <c r="A376" s="3">
        <v>2017</v>
      </c>
      <c r="B376" s="3">
        <v>331</v>
      </c>
      <c r="C376" s="3" t="str">
        <f>VLOOKUP(B376, '[1]DAR area codes'!A:B,2,FALSE)</f>
        <v>maui</v>
      </c>
      <c r="D376" s="4">
        <v>40743.199999999997</v>
      </c>
      <c r="E376" s="6">
        <v>60596.56</v>
      </c>
      <c r="F376" s="3">
        <v>675.15000000000009</v>
      </c>
      <c r="G376" s="3">
        <v>26011</v>
      </c>
    </row>
    <row r="377" spans="1:7" x14ac:dyDescent="0.2">
      <c r="A377" s="3">
        <v>2017</v>
      </c>
      <c r="B377" s="3">
        <v>332</v>
      </c>
      <c r="C377" s="3" t="str">
        <f>VLOOKUP(B377, '[1]DAR area codes'!A:B,2,FALSE)</f>
        <v>maui</v>
      </c>
      <c r="E377" s="6"/>
      <c r="F377" s="3">
        <v>0</v>
      </c>
      <c r="G377" s="3">
        <v>7481</v>
      </c>
    </row>
    <row r="378" spans="1:7" x14ac:dyDescent="0.2">
      <c r="A378" s="3">
        <v>2017</v>
      </c>
      <c r="B378" s="3">
        <v>333</v>
      </c>
      <c r="C378" s="3" t="str">
        <f>VLOOKUP(B378, '[1]DAR area codes'!A:B,2,FALSE)</f>
        <v>maui</v>
      </c>
      <c r="D378" s="4">
        <v>2240.1</v>
      </c>
      <c r="E378" s="6"/>
      <c r="F378" s="3">
        <v>0</v>
      </c>
      <c r="G378" s="3">
        <v>6960.5</v>
      </c>
    </row>
    <row r="379" spans="1:7" x14ac:dyDescent="0.2">
      <c r="A379" s="3">
        <v>2017</v>
      </c>
      <c r="B379" s="3">
        <v>400</v>
      </c>
      <c r="C379" s="3" t="str">
        <f>VLOOKUP(B379, '[1]DAR area codes'!A:B,2,FALSE)</f>
        <v>oahu</v>
      </c>
      <c r="D379" s="4">
        <v>70</v>
      </c>
      <c r="E379" s="6"/>
      <c r="F379" s="3">
        <v>13932.82</v>
      </c>
      <c r="G379" s="3">
        <v>569.9</v>
      </c>
    </row>
    <row r="380" spans="1:7" x14ac:dyDescent="0.2">
      <c r="A380" s="3">
        <v>2017</v>
      </c>
      <c r="B380" s="3">
        <v>401</v>
      </c>
      <c r="C380" s="3" t="str">
        <f>VLOOKUP(B380, '[1]DAR area codes'!A:B,2,FALSE)</f>
        <v>oahu</v>
      </c>
      <c r="D380" s="4">
        <v>62.28</v>
      </c>
      <c r="E380" s="6">
        <v>1433.15</v>
      </c>
      <c r="F380" s="3">
        <v>52923.09</v>
      </c>
      <c r="G380" s="3">
        <v>293.64999999999998</v>
      </c>
    </row>
    <row r="381" spans="1:7" x14ac:dyDescent="0.2">
      <c r="A381" s="3">
        <v>2017</v>
      </c>
      <c r="B381" s="3">
        <v>402</v>
      </c>
      <c r="C381" s="3" t="str">
        <f>VLOOKUP(B381, '[1]DAR area codes'!A:B,2,FALSE)</f>
        <v>oahu</v>
      </c>
      <c r="D381" s="4">
        <v>343.25</v>
      </c>
      <c r="E381" s="6">
        <v>285.76</v>
      </c>
      <c r="F381" s="3">
        <v>46283.189999999995</v>
      </c>
      <c r="G381" s="3">
        <v>517.5</v>
      </c>
    </row>
    <row r="382" spans="1:7" x14ac:dyDescent="0.2">
      <c r="A382" s="3">
        <v>2017</v>
      </c>
      <c r="B382" s="3">
        <v>403</v>
      </c>
      <c r="C382" s="3" t="str">
        <f>VLOOKUP(B382, '[1]DAR area codes'!A:B,2,FALSE)</f>
        <v>oahu</v>
      </c>
      <c r="D382" s="4">
        <v>1227.55</v>
      </c>
      <c r="E382" s="6">
        <v>4667.74</v>
      </c>
      <c r="F382" s="3">
        <v>105628.74000000002</v>
      </c>
      <c r="G382" s="3">
        <v>18215.25</v>
      </c>
    </row>
    <row r="383" spans="1:7" x14ac:dyDescent="0.2">
      <c r="A383" s="3">
        <v>2017</v>
      </c>
      <c r="B383" s="3">
        <v>404</v>
      </c>
      <c r="C383" s="3" t="str">
        <f>VLOOKUP(B383, '[1]DAR area codes'!A:B,2,FALSE)</f>
        <v>oahu</v>
      </c>
      <c r="D383" s="4">
        <v>329.5</v>
      </c>
      <c r="E383" s="6">
        <v>1712.15</v>
      </c>
      <c r="F383" s="3">
        <v>46729.740000000013</v>
      </c>
      <c r="G383" s="3">
        <v>774.3</v>
      </c>
    </row>
    <row r="384" spans="1:7" x14ac:dyDescent="0.2">
      <c r="A384" s="3">
        <v>2017</v>
      </c>
      <c r="B384" s="3">
        <v>405</v>
      </c>
      <c r="C384" s="3" t="str">
        <f>VLOOKUP(B384, '[1]DAR area codes'!A:B,2,FALSE)</f>
        <v>oahu</v>
      </c>
      <c r="D384" s="4">
        <v>1701</v>
      </c>
      <c r="E384" s="6">
        <v>791.7</v>
      </c>
      <c r="F384" s="3">
        <v>17377.810000000001</v>
      </c>
      <c r="G384" s="3">
        <v>835</v>
      </c>
    </row>
    <row r="385" spans="1:7" x14ac:dyDescent="0.2">
      <c r="A385" s="3">
        <v>2017</v>
      </c>
      <c r="B385" s="3">
        <v>406</v>
      </c>
      <c r="C385" s="3" t="str">
        <f>VLOOKUP(B385, '[1]DAR area codes'!A:B,2,FALSE)</f>
        <v>oahu</v>
      </c>
      <c r="E385" s="6"/>
      <c r="F385" s="3">
        <v>27049.1</v>
      </c>
      <c r="G385" s="3">
        <v>0</v>
      </c>
    </row>
    <row r="386" spans="1:7" x14ac:dyDescent="0.2">
      <c r="A386" s="3">
        <v>2017</v>
      </c>
      <c r="B386" s="3">
        <v>407</v>
      </c>
      <c r="C386" s="3" t="str">
        <f>VLOOKUP(B386, '[1]DAR area codes'!A:B,2,FALSE)</f>
        <v>oahu</v>
      </c>
      <c r="D386" s="4">
        <v>278</v>
      </c>
      <c r="E386" s="6">
        <v>353.4</v>
      </c>
      <c r="F386" s="3">
        <v>32772.720000000001</v>
      </c>
      <c r="G386" s="3">
        <v>74</v>
      </c>
    </row>
    <row r="387" spans="1:7" x14ac:dyDescent="0.2">
      <c r="A387" s="3">
        <v>2017</v>
      </c>
      <c r="B387" s="3">
        <v>408</v>
      </c>
      <c r="C387" s="3" t="str">
        <f>VLOOKUP(B387, '[1]DAR area codes'!A:B,2,FALSE)</f>
        <v>oahu</v>
      </c>
      <c r="E387" s="6">
        <v>206.85</v>
      </c>
      <c r="F387" s="3">
        <v>39224.46</v>
      </c>
      <c r="G387" s="3">
        <v>0</v>
      </c>
    </row>
    <row r="388" spans="1:7" x14ac:dyDescent="0.2">
      <c r="A388" s="3">
        <v>2017</v>
      </c>
      <c r="B388" s="3">
        <v>409</v>
      </c>
      <c r="C388" s="3" t="str">
        <f>VLOOKUP(B388, '[1]DAR area codes'!A:B,2,FALSE)</f>
        <v>oahu</v>
      </c>
      <c r="D388" s="4">
        <v>673</v>
      </c>
      <c r="E388" s="6">
        <v>714</v>
      </c>
      <c r="F388" s="3">
        <v>27354.170000000002</v>
      </c>
      <c r="G388" s="3">
        <v>571</v>
      </c>
    </row>
    <row r="389" spans="1:7" x14ac:dyDescent="0.2">
      <c r="A389" s="3">
        <v>2017</v>
      </c>
      <c r="B389" s="3">
        <v>420</v>
      </c>
      <c r="C389" s="3" t="str">
        <f>VLOOKUP(B389, '[1]DAR area codes'!A:B,2,FALSE)</f>
        <v>oahu</v>
      </c>
      <c r="D389" s="4">
        <v>262</v>
      </c>
      <c r="E389" s="6">
        <v>548.44000000000005</v>
      </c>
      <c r="F389" s="3">
        <v>271.40000000000003</v>
      </c>
      <c r="G389" s="3">
        <v>17998.5</v>
      </c>
    </row>
    <row r="390" spans="1:7" x14ac:dyDescent="0.2">
      <c r="A390" s="3">
        <v>2017</v>
      </c>
      <c r="B390" s="3">
        <v>421</v>
      </c>
      <c r="C390" s="3" t="str">
        <f>VLOOKUP(B390, '[1]DAR area codes'!A:B,2,FALSE)</f>
        <v>oahu</v>
      </c>
      <c r="D390" s="4">
        <v>680</v>
      </c>
      <c r="E390" s="6">
        <v>184.25</v>
      </c>
      <c r="F390" s="3">
        <v>210.60000000000002</v>
      </c>
      <c r="G390" s="3">
        <v>66915.8</v>
      </c>
    </row>
    <row r="391" spans="1:7" x14ac:dyDescent="0.2">
      <c r="A391" s="3">
        <v>2017</v>
      </c>
      <c r="B391" s="3">
        <v>422</v>
      </c>
      <c r="C391" s="3" t="str">
        <f>VLOOKUP(B391, '[1]DAR area codes'!A:B,2,FALSE)</f>
        <v>oahu</v>
      </c>
      <c r="E391" s="6"/>
      <c r="F391" s="3">
        <v>207</v>
      </c>
      <c r="G391" s="3">
        <v>64954.15</v>
      </c>
    </row>
    <row r="392" spans="1:7" x14ac:dyDescent="0.2">
      <c r="A392" s="3">
        <v>2017</v>
      </c>
      <c r="B392" s="3">
        <v>423</v>
      </c>
      <c r="C392" s="3" t="str">
        <f>VLOOKUP(B392, '[1]DAR area codes'!A:B,2,FALSE)</f>
        <v>oahu</v>
      </c>
      <c r="D392" s="4">
        <v>3904.5</v>
      </c>
      <c r="E392" s="6">
        <v>456.75</v>
      </c>
      <c r="F392" s="3">
        <v>10974.550000000001</v>
      </c>
      <c r="G392" s="3">
        <v>131395.81</v>
      </c>
    </row>
    <row r="393" spans="1:7" x14ac:dyDescent="0.2">
      <c r="A393" s="3">
        <v>2017</v>
      </c>
      <c r="B393" s="3">
        <v>424</v>
      </c>
      <c r="C393" s="3" t="str">
        <f>VLOOKUP(B393, '[1]DAR area codes'!A:B,2,FALSE)</f>
        <v>oahu</v>
      </c>
      <c r="D393" s="4">
        <v>307</v>
      </c>
      <c r="E393" s="6">
        <v>338.3</v>
      </c>
      <c r="F393" s="3">
        <v>2362</v>
      </c>
      <c r="G393" s="3">
        <v>47313.08</v>
      </c>
    </row>
    <row r="394" spans="1:7" x14ac:dyDescent="0.2">
      <c r="A394" s="3">
        <v>2017</v>
      </c>
      <c r="B394" s="3">
        <v>425</v>
      </c>
      <c r="C394" s="3" t="str">
        <f>VLOOKUP(B394, '[1]DAR area codes'!A:B,2,FALSE)</f>
        <v>oahu</v>
      </c>
      <c r="D394" s="4">
        <v>661.9</v>
      </c>
      <c r="E394" s="6"/>
      <c r="F394" s="3">
        <v>0</v>
      </c>
      <c r="G394" s="3">
        <v>73173.53</v>
      </c>
    </row>
    <row r="395" spans="1:7" x14ac:dyDescent="0.2">
      <c r="A395" s="3">
        <v>2017</v>
      </c>
      <c r="B395" s="3">
        <v>426</v>
      </c>
      <c r="C395" s="3" t="str">
        <f>VLOOKUP(B395, '[1]DAR area codes'!A:B,2,FALSE)</f>
        <v>oahu</v>
      </c>
      <c r="E395" s="6"/>
      <c r="F395" s="3">
        <v>0</v>
      </c>
      <c r="G395" s="3">
        <v>65046.6</v>
      </c>
    </row>
    <row r="396" spans="1:7" x14ac:dyDescent="0.2">
      <c r="A396" s="3">
        <v>2017</v>
      </c>
      <c r="B396" s="3">
        <v>427</v>
      </c>
      <c r="C396" s="3" t="str">
        <f>VLOOKUP(B396, '[1]DAR area codes'!A:B,2,FALSE)</f>
        <v>oahu</v>
      </c>
      <c r="D396" s="4">
        <v>1813.6</v>
      </c>
      <c r="E396" s="6">
        <v>1369.49</v>
      </c>
      <c r="F396" s="3">
        <v>0</v>
      </c>
      <c r="G396" s="3">
        <v>70419.3</v>
      </c>
    </row>
    <row r="397" spans="1:7" x14ac:dyDescent="0.2">
      <c r="A397" s="3">
        <v>2017</v>
      </c>
      <c r="B397" s="3">
        <v>428</v>
      </c>
      <c r="C397" s="3" t="str">
        <f>VLOOKUP(B397, '[1]DAR area codes'!A:B,2,FALSE)</f>
        <v>oahu</v>
      </c>
      <c r="E397" s="6"/>
      <c r="F397" s="3">
        <v>0</v>
      </c>
      <c r="G397" s="3">
        <v>15468.5</v>
      </c>
    </row>
    <row r="398" spans="1:7" x14ac:dyDescent="0.2">
      <c r="A398" s="3">
        <v>2017</v>
      </c>
      <c r="B398" s="3">
        <v>429</v>
      </c>
      <c r="C398" s="3" t="str">
        <f>VLOOKUP(B398, '[1]DAR area codes'!A:B,2,FALSE)</f>
        <v>oahu</v>
      </c>
      <c r="D398" s="4">
        <v>1857.5</v>
      </c>
      <c r="E398" s="6">
        <v>1582.75</v>
      </c>
      <c r="F398" s="3">
        <v>605.75</v>
      </c>
      <c r="G398" s="3">
        <v>4896</v>
      </c>
    </row>
    <row r="399" spans="1:7" x14ac:dyDescent="0.2">
      <c r="A399" s="3">
        <v>2017</v>
      </c>
      <c r="B399" s="3">
        <v>500</v>
      </c>
      <c r="C399" s="3" t="str">
        <f>VLOOKUP(B399, '[1]DAR area codes'!A:B,2,FALSE)</f>
        <v>kauai</v>
      </c>
      <c r="D399" s="4">
        <v>1067</v>
      </c>
      <c r="E399" s="6">
        <v>5459</v>
      </c>
      <c r="F399" s="3">
        <v>28818.9</v>
      </c>
      <c r="G399" s="3">
        <v>3935</v>
      </c>
    </row>
    <row r="400" spans="1:7" x14ac:dyDescent="0.2">
      <c r="A400" s="3">
        <v>2017</v>
      </c>
      <c r="B400" s="3">
        <v>501</v>
      </c>
      <c r="C400" s="3" t="str">
        <f>VLOOKUP(B400, '[1]DAR area codes'!A:B,2,FALSE)</f>
        <v>kauai</v>
      </c>
      <c r="E400" s="6"/>
      <c r="F400" s="3">
        <v>16538.849999999999</v>
      </c>
      <c r="G400" s="3">
        <v>465.9</v>
      </c>
    </row>
    <row r="401" spans="1:7" x14ac:dyDescent="0.2">
      <c r="A401" s="3">
        <v>2017</v>
      </c>
      <c r="B401" s="3">
        <v>502</v>
      </c>
      <c r="C401" s="3" t="str">
        <f>VLOOKUP(B401, '[1]DAR area codes'!A:B,2,FALSE)</f>
        <v>kauai</v>
      </c>
      <c r="E401" s="6"/>
      <c r="F401" s="3">
        <v>608.5</v>
      </c>
      <c r="G401" s="3">
        <v>681</v>
      </c>
    </row>
    <row r="402" spans="1:7" x14ac:dyDescent="0.2">
      <c r="A402" s="3">
        <v>2017</v>
      </c>
      <c r="B402" s="3">
        <v>503</v>
      </c>
      <c r="C402" s="3" t="str">
        <f>VLOOKUP(B402, '[1]DAR area codes'!A:B,2,FALSE)</f>
        <v>kauai</v>
      </c>
      <c r="E402" s="6"/>
      <c r="F402" s="3">
        <v>279.26</v>
      </c>
      <c r="G402" s="3">
        <v>1301</v>
      </c>
    </row>
    <row r="403" spans="1:7" x14ac:dyDescent="0.2">
      <c r="A403" s="3">
        <v>2017</v>
      </c>
      <c r="B403" s="3">
        <v>504</v>
      </c>
      <c r="C403" s="3" t="str">
        <f>VLOOKUP(B403, '[1]DAR area codes'!A:B,2,FALSE)</f>
        <v>kauai</v>
      </c>
      <c r="D403" s="4">
        <v>844.1</v>
      </c>
      <c r="E403" s="6">
        <v>1488.25</v>
      </c>
      <c r="F403" s="3">
        <v>3725.55</v>
      </c>
      <c r="G403" s="3">
        <v>12779.81</v>
      </c>
    </row>
    <row r="404" spans="1:7" x14ac:dyDescent="0.2">
      <c r="A404" s="3">
        <v>2017</v>
      </c>
      <c r="B404" s="3">
        <v>505</v>
      </c>
      <c r="C404" s="3" t="str">
        <f>VLOOKUP(B404, '[1]DAR area codes'!A:B,2,FALSE)</f>
        <v>kauai</v>
      </c>
      <c r="D404" s="4">
        <v>1580</v>
      </c>
      <c r="E404" s="6">
        <v>8572.5</v>
      </c>
      <c r="F404" s="3">
        <v>3491</v>
      </c>
      <c r="G404" s="3">
        <v>3759.5</v>
      </c>
    </row>
    <row r="405" spans="1:7" x14ac:dyDescent="0.2">
      <c r="A405" s="3">
        <v>2017</v>
      </c>
      <c r="B405" s="3">
        <v>506</v>
      </c>
      <c r="C405" s="3" t="str">
        <f>VLOOKUP(B405, '[1]DAR area codes'!A:B,2,FALSE)</f>
        <v>kauai</v>
      </c>
      <c r="D405" s="4">
        <v>407</v>
      </c>
      <c r="E405" s="6">
        <v>4106</v>
      </c>
      <c r="F405" s="3">
        <v>2327</v>
      </c>
      <c r="G405" s="3">
        <v>3637</v>
      </c>
    </row>
    <row r="406" spans="1:7" x14ac:dyDescent="0.2">
      <c r="A406" s="3">
        <v>2017</v>
      </c>
      <c r="B406" s="3">
        <v>507</v>
      </c>
      <c r="C406" s="3" t="str">
        <f>VLOOKUP(B406, '[1]DAR area codes'!A:B,2,FALSE)</f>
        <v>kauai</v>
      </c>
      <c r="E406" s="6"/>
      <c r="F406" s="3">
        <v>0</v>
      </c>
      <c r="G406" s="3">
        <v>0</v>
      </c>
    </row>
    <row r="407" spans="1:7" x14ac:dyDescent="0.2">
      <c r="A407" s="3">
        <v>2017</v>
      </c>
      <c r="B407" s="3">
        <v>508</v>
      </c>
      <c r="C407" s="3" t="str">
        <f>VLOOKUP(B407, '[1]DAR area codes'!A:B,2,FALSE)</f>
        <v>kauai</v>
      </c>
      <c r="D407" s="4">
        <v>4706</v>
      </c>
      <c r="E407" s="6"/>
      <c r="F407" s="3">
        <v>0</v>
      </c>
      <c r="G407" s="3">
        <v>21271.5</v>
      </c>
    </row>
    <row r="408" spans="1:7" x14ac:dyDescent="0.2">
      <c r="A408" s="3">
        <v>2017</v>
      </c>
      <c r="B408" s="3">
        <v>520</v>
      </c>
      <c r="C408" s="3" t="str">
        <f>VLOOKUP(B408, '[1]DAR area codes'!A:B,2,FALSE)</f>
        <v>kauai</v>
      </c>
      <c r="D408" s="4">
        <v>811.45</v>
      </c>
      <c r="E408" s="6">
        <v>2117</v>
      </c>
      <c r="F408" s="3">
        <v>3698.3</v>
      </c>
      <c r="G408" s="3">
        <v>169468.2</v>
      </c>
    </row>
    <row r="409" spans="1:7" x14ac:dyDescent="0.2">
      <c r="A409" s="3">
        <v>2017</v>
      </c>
      <c r="B409" s="3">
        <v>521</v>
      </c>
      <c r="C409" s="3" t="str">
        <f>VLOOKUP(B409, '[1]DAR area codes'!A:B,2,FALSE)</f>
        <v>kauai</v>
      </c>
      <c r="D409" s="4">
        <v>856</v>
      </c>
      <c r="E409" s="6">
        <v>2419</v>
      </c>
      <c r="F409" s="3">
        <v>5687.6</v>
      </c>
      <c r="G409" s="3">
        <v>8993.5</v>
      </c>
    </row>
    <row r="410" spans="1:7" x14ac:dyDescent="0.2">
      <c r="A410" s="3">
        <v>2017</v>
      </c>
      <c r="B410" s="3">
        <v>522</v>
      </c>
      <c r="C410" s="3" t="str">
        <f>VLOOKUP(B410, '[1]DAR area codes'!A:B,2,FALSE)</f>
        <v>kauai</v>
      </c>
      <c r="E410" s="6"/>
      <c r="F410" s="3">
        <v>0</v>
      </c>
      <c r="G410" s="3">
        <v>4619</v>
      </c>
    </row>
    <row r="411" spans="1:7" x14ac:dyDescent="0.2">
      <c r="A411" s="3">
        <v>2017</v>
      </c>
      <c r="B411" s="3">
        <v>523</v>
      </c>
      <c r="C411" s="3" t="str">
        <f>VLOOKUP(B411, '[1]DAR area codes'!A:B,2,FALSE)</f>
        <v>kauai</v>
      </c>
      <c r="D411" s="4">
        <v>501</v>
      </c>
      <c r="E411" s="6"/>
      <c r="F411" s="3">
        <v>0</v>
      </c>
      <c r="G411" s="3">
        <v>48997.599999999999</v>
      </c>
    </row>
    <row r="412" spans="1:7" x14ac:dyDescent="0.2">
      <c r="A412" s="3">
        <v>2017</v>
      </c>
      <c r="B412" s="3">
        <v>524</v>
      </c>
      <c r="C412" s="3" t="str">
        <f>VLOOKUP(B412, '[1]DAR area codes'!A:B,2,FALSE)</f>
        <v>kauai</v>
      </c>
      <c r="D412" s="4">
        <v>1768.4</v>
      </c>
      <c r="E412" s="6">
        <v>9215.2999999999993</v>
      </c>
      <c r="F412" s="3">
        <v>4909</v>
      </c>
      <c r="G412" s="3">
        <v>188781.6</v>
      </c>
    </row>
    <row r="413" spans="1:7" x14ac:dyDescent="0.2">
      <c r="A413" s="3">
        <v>2017</v>
      </c>
      <c r="B413" s="3">
        <v>525</v>
      </c>
      <c r="C413" s="3" t="str">
        <f>VLOOKUP(B413, '[1]DAR area codes'!A:B,2,FALSE)</f>
        <v>kauai</v>
      </c>
      <c r="E413" s="6">
        <v>2338.5</v>
      </c>
      <c r="F413" s="3">
        <v>0</v>
      </c>
      <c r="G413" s="3">
        <v>6804</v>
      </c>
    </row>
    <row r="414" spans="1:7" x14ac:dyDescent="0.2">
      <c r="A414" s="3">
        <v>2017</v>
      </c>
      <c r="B414" s="3">
        <v>526</v>
      </c>
      <c r="C414" s="3" t="str">
        <f>VLOOKUP(B414, '[1]DAR area codes'!A:B,2,FALSE)</f>
        <v>kauai</v>
      </c>
      <c r="E414" s="6"/>
      <c r="F414" s="3">
        <v>0</v>
      </c>
      <c r="G414" s="3">
        <v>1450</v>
      </c>
    </row>
    <row r="415" spans="1:7" x14ac:dyDescent="0.2">
      <c r="A415" s="3">
        <v>2017</v>
      </c>
      <c r="B415" s="3">
        <v>527</v>
      </c>
      <c r="C415" s="3" t="str">
        <f>VLOOKUP(B415, '[1]DAR area codes'!A:B,2,FALSE)</f>
        <v>kauai</v>
      </c>
      <c r="E415" s="6"/>
      <c r="F415" s="3">
        <v>0</v>
      </c>
      <c r="G415" s="3">
        <v>1243</v>
      </c>
    </row>
    <row r="416" spans="1:7" x14ac:dyDescent="0.2">
      <c r="A416" s="3">
        <v>2017</v>
      </c>
      <c r="B416" s="3">
        <v>528</v>
      </c>
      <c r="C416" s="3" t="str">
        <f>VLOOKUP(B416, '[1]DAR area codes'!A:B,2,FALSE)</f>
        <v>kauai</v>
      </c>
      <c r="E416" s="6"/>
      <c r="F416" s="3">
        <v>0</v>
      </c>
      <c r="G416" s="3">
        <v>12305</v>
      </c>
    </row>
    <row r="417" spans="1:7" x14ac:dyDescent="0.2">
      <c r="A417" s="3">
        <v>2016</v>
      </c>
      <c r="B417" s="3">
        <v>100</v>
      </c>
      <c r="C417" s="3" t="str">
        <f>VLOOKUP(B417, '[1]DAR area codes'!A:B,2,FALSE)</f>
        <v>hawaii</v>
      </c>
      <c r="D417" s="4">
        <v>3421.2</v>
      </c>
      <c r="E417" s="6">
        <v>524.9</v>
      </c>
      <c r="F417" s="3">
        <v>6920.6900000000005</v>
      </c>
      <c r="G417" s="3">
        <v>41729.199999999997</v>
      </c>
    </row>
    <row r="418" spans="1:7" x14ac:dyDescent="0.2">
      <c r="A418" s="3">
        <v>2016</v>
      </c>
      <c r="B418" s="3">
        <v>101</v>
      </c>
      <c r="C418" s="3" t="str">
        <f>VLOOKUP(B418, '[1]DAR area codes'!A:B,2,FALSE)</f>
        <v>hawaii</v>
      </c>
      <c r="D418" s="4">
        <v>3922.3</v>
      </c>
      <c r="E418" s="6">
        <v>2562.39</v>
      </c>
      <c r="F418" s="3">
        <v>106763.71</v>
      </c>
      <c r="G418" s="3">
        <v>113634.86</v>
      </c>
    </row>
    <row r="419" spans="1:7" x14ac:dyDescent="0.2">
      <c r="A419" s="3">
        <v>2016</v>
      </c>
      <c r="B419" s="3">
        <v>102</v>
      </c>
      <c r="C419" s="3" t="str">
        <f>VLOOKUP(B419, '[1]DAR area codes'!A:B,2,FALSE)</f>
        <v>hawaii</v>
      </c>
      <c r="D419" s="4">
        <v>4358.8</v>
      </c>
      <c r="E419" s="6">
        <v>12470.5</v>
      </c>
      <c r="F419" s="3">
        <v>4133.26</v>
      </c>
      <c r="G419" s="3">
        <v>21678.3</v>
      </c>
    </row>
    <row r="420" spans="1:7" x14ac:dyDescent="0.2">
      <c r="A420" s="3">
        <v>2016</v>
      </c>
      <c r="B420" s="3">
        <v>103</v>
      </c>
      <c r="C420" s="3" t="str">
        <f>VLOOKUP(B420, '[1]DAR area codes'!A:B,2,FALSE)</f>
        <v>hawaii</v>
      </c>
      <c r="D420" s="4">
        <v>2634.01</v>
      </c>
      <c r="E420" s="6"/>
      <c r="F420" s="3">
        <v>0</v>
      </c>
      <c r="G420" s="3">
        <v>2677.63</v>
      </c>
    </row>
    <row r="421" spans="1:7" x14ac:dyDescent="0.2">
      <c r="A421" s="3">
        <v>2016</v>
      </c>
      <c r="B421" s="3">
        <v>104</v>
      </c>
      <c r="C421" s="3" t="str">
        <f>VLOOKUP(B421, '[1]DAR area codes'!A:B,2,FALSE)</f>
        <v>hawaii</v>
      </c>
      <c r="D421" s="4">
        <v>1947.4</v>
      </c>
      <c r="E421" s="6"/>
      <c r="F421" s="3">
        <v>2096.6</v>
      </c>
      <c r="G421" s="3">
        <v>15788.4</v>
      </c>
    </row>
    <row r="422" spans="1:7" x14ac:dyDescent="0.2">
      <c r="A422" s="3">
        <v>2016</v>
      </c>
      <c r="B422" s="3">
        <v>105</v>
      </c>
      <c r="C422" s="3" t="str">
        <f>VLOOKUP(B422, '[1]DAR area codes'!A:B,2,FALSE)</f>
        <v>hawaii</v>
      </c>
      <c r="D422" s="4">
        <v>4847.8999999999996</v>
      </c>
      <c r="E422" s="6">
        <v>658</v>
      </c>
      <c r="F422" s="3">
        <v>4491.6000000000004</v>
      </c>
      <c r="G422" s="3">
        <v>10204.5</v>
      </c>
    </row>
    <row r="423" spans="1:7" x14ac:dyDescent="0.2">
      <c r="A423" s="3">
        <v>2016</v>
      </c>
      <c r="B423" s="3">
        <v>106</v>
      </c>
      <c r="C423" s="3" t="str">
        <f>VLOOKUP(B423, '[1]DAR area codes'!A:B,2,FALSE)</f>
        <v>hawaii</v>
      </c>
      <c r="D423" s="4">
        <v>1420.1</v>
      </c>
      <c r="E423" s="6">
        <v>946.1</v>
      </c>
      <c r="F423" s="3">
        <v>13448.199999999999</v>
      </c>
      <c r="G423" s="3">
        <v>48679.3</v>
      </c>
    </row>
    <row r="424" spans="1:7" x14ac:dyDescent="0.2">
      <c r="A424" s="3">
        <v>2016</v>
      </c>
      <c r="B424" s="3">
        <v>107</v>
      </c>
      <c r="C424" s="3" t="str">
        <f>VLOOKUP(B424, '[1]DAR area codes'!A:B,2,FALSE)</f>
        <v>hawaii</v>
      </c>
      <c r="D424" s="4">
        <v>2236.8000000000002</v>
      </c>
      <c r="E424" s="6">
        <v>407.2</v>
      </c>
      <c r="F424" s="3">
        <v>5944.7</v>
      </c>
      <c r="G424" s="3">
        <v>19837.599999999999</v>
      </c>
    </row>
    <row r="425" spans="1:7" x14ac:dyDescent="0.2">
      <c r="A425" s="3">
        <v>2016</v>
      </c>
      <c r="B425" s="3">
        <v>108</v>
      </c>
      <c r="C425" s="3" t="str">
        <f>VLOOKUP(B425, '[1]DAR area codes'!A:B,2,FALSE)</f>
        <v>hawaii</v>
      </c>
      <c r="D425" s="4">
        <v>677</v>
      </c>
      <c r="E425" s="6"/>
      <c r="F425" s="3">
        <v>1180.2</v>
      </c>
      <c r="G425" s="3">
        <v>42852.1</v>
      </c>
    </row>
    <row r="426" spans="1:7" x14ac:dyDescent="0.2">
      <c r="A426" s="3">
        <v>2016</v>
      </c>
      <c r="B426" s="3">
        <v>120</v>
      </c>
      <c r="C426" s="3" t="str">
        <f>VLOOKUP(B426, '[1]DAR area codes'!A:B,2,FALSE)</f>
        <v>hawaii</v>
      </c>
      <c r="D426" s="4">
        <v>2808.8</v>
      </c>
      <c r="E426" s="6">
        <v>927.3</v>
      </c>
      <c r="F426" s="3">
        <v>40.799999999999997</v>
      </c>
      <c r="G426" s="3">
        <v>36349.599999999999</v>
      </c>
    </row>
    <row r="427" spans="1:7" x14ac:dyDescent="0.2">
      <c r="A427" s="3">
        <v>2016</v>
      </c>
      <c r="B427" s="3">
        <v>121</v>
      </c>
      <c r="C427" s="3" t="str">
        <f>VLOOKUP(B427, '[1]DAR area codes'!A:B,2,FALSE)</f>
        <v>hawaii</v>
      </c>
      <c r="D427" s="4">
        <v>7675.8</v>
      </c>
      <c r="E427" s="6">
        <v>1774.5</v>
      </c>
      <c r="F427" s="3">
        <v>18378.05</v>
      </c>
      <c r="G427" s="3">
        <v>486151.71</v>
      </c>
    </row>
    <row r="428" spans="1:7" x14ac:dyDescent="0.2">
      <c r="A428" s="3">
        <v>2016</v>
      </c>
      <c r="B428" s="3">
        <v>122</v>
      </c>
      <c r="C428" s="3" t="str">
        <f>VLOOKUP(B428, '[1]DAR area codes'!A:B,2,FALSE)</f>
        <v>hawaii</v>
      </c>
      <c r="D428" s="4">
        <v>23005.06</v>
      </c>
      <c r="E428" s="6">
        <v>8288</v>
      </c>
      <c r="F428" s="3">
        <v>1027.75</v>
      </c>
      <c r="G428" s="3">
        <v>91100.400000000009</v>
      </c>
    </row>
    <row r="429" spans="1:7" x14ac:dyDescent="0.2">
      <c r="A429" s="3">
        <v>2016</v>
      </c>
      <c r="B429" s="3">
        <v>123</v>
      </c>
      <c r="C429" s="3" t="str">
        <f>VLOOKUP(B429, '[1]DAR area codes'!A:B,2,FALSE)</f>
        <v>hawaii</v>
      </c>
      <c r="E429" s="6"/>
      <c r="F429" s="3">
        <v>0</v>
      </c>
      <c r="G429" s="3">
        <v>1059.5999999999999</v>
      </c>
    </row>
    <row r="430" spans="1:7" x14ac:dyDescent="0.2">
      <c r="A430" s="3">
        <v>2016</v>
      </c>
      <c r="B430" s="3">
        <v>124</v>
      </c>
      <c r="C430" s="3" t="str">
        <f>VLOOKUP(B430, '[1]DAR area codes'!A:B,2,FALSE)</f>
        <v>hawaii</v>
      </c>
      <c r="D430" s="4">
        <v>1095.4000000000001</v>
      </c>
      <c r="E430" s="6">
        <v>64.5</v>
      </c>
      <c r="F430" s="3">
        <v>0</v>
      </c>
      <c r="G430" s="3">
        <v>26332</v>
      </c>
    </row>
    <row r="431" spans="1:7" x14ac:dyDescent="0.2">
      <c r="A431" s="3">
        <v>2016</v>
      </c>
      <c r="B431" s="3">
        <v>125</v>
      </c>
      <c r="C431" s="3" t="str">
        <f>VLOOKUP(B431, '[1]DAR area codes'!A:B,2,FALSE)</f>
        <v>hawaii</v>
      </c>
      <c r="D431" s="4">
        <v>2789.12</v>
      </c>
      <c r="E431" s="6">
        <v>496.8</v>
      </c>
      <c r="F431" s="3">
        <v>891.30000000000007</v>
      </c>
      <c r="G431" s="3">
        <v>224660.5</v>
      </c>
    </row>
    <row r="432" spans="1:7" x14ac:dyDescent="0.2">
      <c r="A432" s="3">
        <v>2016</v>
      </c>
      <c r="B432" s="3">
        <v>126</v>
      </c>
      <c r="C432" s="3" t="str">
        <f>VLOOKUP(B432, '[1]DAR area codes'!A:B,2,FALSE)</f>
        <v>hawaii</v>
      </c>
      <c r="D432" s="4">
        <v>3141.7</v>
      </c>
      <c r="E432" s="6">
        <v>287.5</v>
      </c>
      <c r="F432" s="3">
        <v>2158</v>
      </c>
      <c r="G432" s="3">
        <v>185520.57</v>
      </c>
    </row>
    <row r="433" spans="1:7" x14ac:dyDescent="0.2">
      <c r="A433" s="3">
        <v>2016</v>
      </c>
      <c r="B433" s="3">
        <v>127</v>
      </c>
      <c r="C433" s="3" t="str">
        <f>VLOOKUP(B433, '[1]DAR area codes'!A:B,2,FALSE)</f>
        <v>hawaii</v>
      </c>
      <c r="D433" s="4">
        <v>1365.4</v>
      </c>
      <c r="E433" s="6"/>
      <c r="F433" s="3">
        <v>0</v>
      </c>
      <c r="G433" s="3">
        <v>65774.899999999994</v>
      </c>
    </row>
    <row r="434" spans="1:7" x14ac:dyDescent="0.2">
      <c r="A434" s="3">
        <v>2016</v>
      </c>
      <c r="B434" s="3">
        <v>128</v>
      </c>
      <c r="C434" s="3" t="str">
        <f>VLOOKUP(B434, '[1]DAR area codes'!A:B,2,FALSE)</f>
        <v>hawaii</v>
      </c>
      <c r="D434" s="4">
        <v>815.7</v>
      </c>
      <c r="E434" s="6">
        <v>410.3</v>
      </c>
      <c r="F434" s="3">
        <v>0</v>
      </c>
      <c r="G434" s="3">
        <v>25258.199999999997</v>
      </c>
    </row>
    <row r="435" spans="1:7" x14ac:dyDescent="0.2">
      <c r="A435" s="3">
        <v>2016</v>
      </c>
      <c r="B435" s="3">
        <v>300</v>
      </c>
      <c r="C435" s="3" t="str">
        <f>VLOOKUP(B435, '[1]DAR area codes'!A:B,2,FALSE)</f>
        <v>maui</v>
      </c>
      <c r="E435" s="6">
        <v>1831.75</v>
      </c>
      <c r="F435" s="3">
        <v>151201.59999999998</v>
      </c>
      <c r="G435" s="3">
        <v>2646</v>
      </c>
    </row>
    <row r="436" spans="1:7" x14ac:dyDescent="0.2">
      <c r="A436" s="3">
        <v>2016</v>
      </c>
      <c r="B436" s="3">
        <v>301</v>
      </c>
      <c r="C436" s="3" t="str">
        <f>VLOOKUP(B436, '[1]DAR area codes'!A:B,2,FALSE)</f>
        <v>maui</v>
      </c>
      <c r="E436" s="6">
        <v>402</v>
      </c>
      <c r="F436" s="3">
        <v>14263.95</v>
      </c>
      <c r="G436" s="3">
        <v>0</v>
      </c>
    </row>
    <row r="437" spans="1:7" x14ac:dyDescent="0.2">
      <c r="A437" s="3">
        <v>2016</v>
      </c>
      <c r="B437" s="3">
        <v>302</v>
      </c>
      <c r="C437" s="3" t="str">
        <f>VLOOKUP(B437, '[1]DAR area codes'!A:B,2,FALSE)</f>
        <v>maui</v>
      </c>
      <c r="D437" s="4">
        <v>1608.2</v>
      </c>
      <c r="E437" s="6">
        <v>178.75</v>
      </c>
      <c r="F437" s="3">
        <v>6228.58</v>
      </c>
      <c r="G437" s="3">
        <v>348</v>
      </c>
    </row>
    <row r="438" spans="1:7" x14ac:dyDescent="0.2">
      <c r="A438" s="3">
        <v>2016</v>
      </c>
      <c r="B438" s="3">
        <v>303</v>
      </c>
      <c r="C438" s="3" t="str">
        <f>VLOOKUP(B438, '[1]DAR area codes'!A:B,2,FALSE)</f>
        <v>maui</v>
      </c>
      <c r="D438" s="4">
        <v>509.7</v>
      </c>
      <c r="E438" s="6"/>
      <c r="F438" s="3">
        <v>7501.25</v>
      </c>
      <c r="G438" s="3">
        <v>1768.6</v>
      </c>
    </row>
    <row r="439" spans="1:7" x14ac:dyDescent="0.2">
      <c r="A439" s="3">
        <v>2016</v>
      </c>
      <c r="B439" s="3">
        <v>304</v>
      </c>
      <c r="C439" s="3" t="str">
        <f>VLOOKUP(B439, '[1]DAR area codes'!A:B,2,FALSE)</f>
        <v>maui</v>
      </c>
      <c r="D439" s="4">
        <v>3954.1</v>
      </c>
      <c r="E439" s="6"/>
      <c r="F439" s="3">
        <v>796</v>
      </c>
      <c r="G439" s="3">
        <v>1731.9</v>
      </c>
    </row>
    <row r="440" spans="1:7" x14ac:dyDescent="0.2">
      <c r="A440" s="3">
        <v>2016</v>
      </c>
      <c r="B440" s="3">
        <v>305</v>
      </c>
      <c r="C440" s="3" t="str">
        <f>VLOOKUP(B440, '[1]DAR area codes'!A:B,2,FALSE)</f>
        <v>maui</v>
      </c>
      <c r="D440" s="4">
        <v>3335.8</v>
      </c>
      <c r="E440" s="6">
        <v>328.7</v>
      </c>
      <c r="F440" s="3">
        <v>110.19999999999999</v>
      </c>
      <c r="G440" s="3">
        <v>3763</v>
      </c>
    </row>
    <row r="441" spans="1:7" x14ac:dyDescent="0.2">
      <c r="A441" s="3">
        <v>2016</v>
      </c>
      <c r="B441" s="3">
        <v>306</v>
      </c>
      <c r="C441" s="3" t="str">
        <f>VLOOKUP(B441, '[1]DAR area codes'!A:B,2,FALSE)</f>
        <v>maui</v>
      </c>
      <c r="E441" s="6"/>
      <c r="F441" s="3">
        <v>0</v>
      </c>
      <c r="G441" s="3">
        <v>1178.7</v>
      </c>
    </row>
    <row r="442" spans="1:7" x14ac:dyDescent="0.2">
      <c r="A442" s="3">
        <v>2016</v>
      </c>
      <c r="B442" s="3">
        <v>307</v>
      </c>
      <c r="C442" s="3" t="str">
        <f>VLOOKUP(B442, '[1]DAR area codes'!A:B,2,FALSE)</f>
        <v>maui</v>
      </c>
      <c r="E442" s="6"/>
      <c r="F442" s="3">
        <v>0</v>
      </c>
      <c r="G442" s="3">
        <v>0</v>
      </c>
    </row>
    <row r="443" spans="1:7" x14ac:dyDescent="0.2">
      <c r="A443" s="3">
        <v>2016</v>
      </c>
      <c r="B443" s="3">
        <v>308</v>
      </c>
      <c r="C443" s="3" t="str">
        <f>VLOOKUP(B443, '[1]DAR area codes'!A:B,2,FALSE)</f>
        <v>maui</v>
      </c>
      <c r="E443" s="6">
        <v>2354.4</v>
      </c>
      <c r="F443" s="3">
        <v>213</v>
      </c>
      <c r="G443" s="3">
        <v>16952.150000000001</v>
      </c>
    </row>
    <row r="444" spans="1:7" x14ac:dyDescent="0.2">
      <c r="A444" s="3">
        <v>2016</v>
      </c>
      <c r="B444" s="3">
        <v>309</v>
      </c>
      <c r="C444" s="3" t="str">
        <f>VLOOKUP(B444, '[1]DAR area codes'!A:B,2,FALSE)</f>
        <v>maui</v>
      </c>
      <c r="E444" s="6"/>
      <c r="F444" s="3">
        <v>0</v>
      </c>
      <c r="G444" s="3">
        <v>0</v>
      </c>
    </row>
    <row r="445" spans="1:7" x14ac:dyDescent="0.2">
      <c r="A445" s="3">
        <v>2016</v>
      </c>
      <c r="B445" s="3">
        <v>310</v>
      </c>
      <c r="C445" s="3" t="str">
        <f>VLOOKUP(B445, '[1]DAR area codes'!A:B,2,FALSE)</f>
        <v>maui</v>
      </c>
      <c r="D445" s="4">
        <v>2755.9</v>
      </c>
      <c r="E445" s="6">
        <v>541.44000000000005</v>
      </c>
      <c r="F445" s="3">
        <v>390.1</v>
      </c>
      <c r="G445" s="3">
        <v>3019.76</v>
      </c>
    </row>
    <row r="446" spans="1:7" x14ac:dyDescent="0.2">
      <c r="A446" s="3">
        <v>2016</v>
      </c>
      <c r="B446" s="3">
        <v>311</v>
      </c>
      <c r="C446" s="3" t="str">
        <f>VLOOKUP(B446, '[1]DAR area codes'!A:B,2,FALSE)</f>
        <v>maui</v>
      </c>
      <c r="E446" s="6"/>
      <c r="F446" s="3">
        <v>1683.4299999999998</v>
      </c>
      <c r="G446" s="3">
        <v>458.72</v>
      </c>
    </row>
    <row r="447" spans="1:7" x14ac:dyDescent="0.2">
      <c r="A447" s="3">
        <v>2016</v>
      </c>
      <c r="B447" s="3">
        <v>312</v>
      </c>
      <c r="C447" s="3" t="str">
        <f>VLOOKUP(B447, '[1]DAR area codes'!A:B,2,FALSE)</f>
        <v>maui</v>
      </c>
      <c r="E447" s="6"/>
      <c r="F447" s="3">
        <v>5044.0999999999995</v>
      </c>
      <c r="G447" s="3">
        <v>0</v>
      </c>
    </row>
    <row r="448" spans="1:7" x14ac:dyDescent="0.2">
      <c r="A448" s="3">
        <v>2016</v>
      </c>
      <c r="B448" s="3">
        <v>313</v>
      </c>
      <c r="C448" s="3" t="str">
        <f>VLOOKUP(B448, '[1]DAR area codes'!A:B,2,FALSE)</f>
        <v>maui</v>
      </c>
      <c r="D448" s="4">
        <v>1760.5</v>
      </c>
      <c r="E448" s="6">
        <v>231.8</v>
      </c>
      <c r="F448" s="3">
        <v>172.4</v>
      </c>
      <c r="G448" s="3">
        <v>638.6</v>
      </c>
    </row>
    <row r="449" spans="1:7" x14ac:dyDescent="0.2">
      <c r="A449" s="3">
        <v>2016</v>
      </c>
      <c r="B449" s="3">
        <v>314</v>
      </c>
      <c r="C449" s="3" t="str">
        <f>VLOOKUP(B449, '[1]DAR area codes'!A:B,2,FALSE)</f>
        <v>maui</v>
      </c>
      <c r="E449" s="6"/>
      <c r="F449" s="3">
        <v>0</v>
      </c>
      <c r="G449" s="3">
        <v>0</v>
      </c>
    </row>
    <row r="450" spans="1:7" x14ac:dyDescent="0.2">
      <c r="A450" s="3">
        <v>2016</v>
      </c>
      <c r="B450" s="3">
        <v>320</v>
      </c>
      <c r="C450" s="3" t="str">
        <f>VLOOKUP(B450, '[1]DAR area codes'!A:B,2,FALSE)</f>
        <v>maui</v>
      </c>
      <c r="D450" s="4">
        <v>27659.18</v>
      </c>
      <c r="E450" s="6">
        <v>13605.62</v>
      </c>
      <c r="F450" s="3">
        <v>7494.9999999999991</v>
      </c>
      <c r="G450" s="3">
        <v>14844.599999999999</v>
      </c>
    </row>
    <row r="451" spans="1:7" x14ac:dyDescent="0.2">
      <c r="A451" s="3">
        <v>2016</v>
      </c>
      <c r="B451" s="3">
        <v>321</v>
      </c>
      <c r="C451" s="3" t="str">
        <f>VLOOKUP(B451, '[1]DAR area codes'!A:B,2,FALSE)</f>
        <v>maui</v>
      </c>
      <c r="D451" s="4">
        <v>20314.330000000002</v>
      </c>
      <c r="E451" s="6">
        <v>4846.25</v>
      </c>
      <c r="F451" s="3">
        <v>1749.9</v>
      </c>
      <c r="G451" s="3">
        <v>2630.1000000000004</v>
      </c>
    </row>
    <row r="452" spans="1:7" x14ac:dyDescent="0.2">
      <c r="A452" s="3">
        <v>2016</v>
      </c>
      <c r="B452" s="3">
        <v>322</v>
      </c>
      <c r="C452" s="3" t="str">
        <f>VLOOKUP(B452, '[1]DAR area codes'!A:B,2,FALSE)</f>
        <v>maui</v>
      </c>
      <c r="D452" s="4">
        <v>4288.84</v>
      </c>
      <c r="E452" s="6"/>
      <c r="F452" s="3">
        <v>0</v>
      </c>
      <c r="G452" s="3">
        <v>33525.5</v>
      </c>
    </row>
    <row r="453" spans="1:7" x14ac:dyDescent="0.2">
      <c r="A453" s="3">
        <v>2016</v>
      </c>
      <c r="B453" s="3">
        <v>323</v>
      </c>
      <c r="C453" s="3" t="str">
        <f>VLOOKUP(B453, '[1]DAR area codes'!A:B,2,FALSE)</f>
        <v>maui</v>
      </c>
      <c r="D453" s="4">
        <v>1136.6500000000001</v>
      </c>
      <c r="E453" s="6"/>
      <c r="F453" s="3">
        <v>0</v>
      </c>
      <c r="G453" s="3">
        <v>58193.55</v>
      </c>
    </row>
    <row r="454" spans="1:7" x14ac:dyDescent="0.2">
      <c r="A454" s="3">
        <v>2016</v>
      </c>
      <c r="B454" s="3">
        <v>324</v>
      </c>
      <c r="C454" s="3" t="str">
        <f>VLOOKUP(B454, '[1]DAR area codes'!A:B,2,FALSE)</f>
        <v>maui</v>
      </c>
      <c r="E454" s="6">
        <v>369</v>
      </c>
      <c r="F454" s="3">
        <v>0</v>
      </c>
      <c r="G454" s="3">
        <v>91810.25</v>
      </c>
    </row>
    <row r="455" spans="1:7" x14ac:dyDescent="0.2">
      <c r="A455" s="3">
        <v>2016</v>
      </c>
      <c r="B455" s="3">
        <v>325</v>
      </c>
      <c r="C455" s="3" t="str">
        <f>VLOOKUP(B455, '[1]DAR area codes'!A:B,2,FALSE)</f>
        <v>maui</v>
      </c>
      <c r="D455" s="4">
        <v>1334</v>
      </c>
      <c r="E455" s="6"/>
      <c r="F455" s="3">
        <v>0</v>
      </c>
      <c r="G455" s="3">
        <v>17545.059999999998</v>
      </c>
    </row>
    <row r="456" spans="1:7" x14ac:dyDescent="0.2">
      <c r="A456" s="3">
        <v>2016</v>
      </c>
      <c r="B456" s="3">
        <v>326</v>
      </c>
      <c r="C456" s="3" t="str">
        <f>VLOOKUP(B456, '[1]DAR area codes'!A:B,2,FALSE)</f>
        <v>maui</v>
      </c>
      <c r="D456" s="4">
        <v>581.79999999999995</v>
      </c>
      <c r="E456" s="6"/>
      <c r="F456" s="3">
        <v>0</v>
      </c>
      <c r="G456" s="3">
        <v>1996.5</v>
      </c>
    </row>
    <row r="457" spans="1:7" x14ac:dyDescent="0.2">
      <c r="A457" s="3">
        <v>2016</v>
      </c>
      <c r="B457" s="3">
        <v>327</v>
      </c>
      <c r="C457" s="3" t="str">
        <f>VLOOKUP(B457, '[1]DAR area codes'!A:B,2,FALSE)</f>
        <v>maui</v>
      </c>
      <c r="D457" s="4">
        <v>21534.66</v>
      </c>
      <c r="E457" s="6">
        <v>14712.7</v>
      </c>
      <c r="F457" s="3">
        <v>47</v>
      </c>
      <c r="G457" s="3">
        <v>25574.400000000001</v>
      </c>
    </row>
    <row r="458" spans="1:7" x14ac:dyDescent="0.2">
      <c r="A458" s="3">
        <v>2016</v>
      </c>
      <c r="B458" s="3">
        <v>328</v>
      </c>
      <c r="C458" s="3" t="str">
        <f>VLOOKUP(B458, '[1]DAR area codes'!A:B,2,FALSE)</f>
        <v>maui</v>
      </c>
      <c r="D458" s="4">
        <v>2567</v>
      </c>
      <c r="E458" s="6">
        <v>2407.4</v>
      </c>
      <c r="F458" s="3">
        <v>0</v>
      </c>
      <c r="G458" s="3">
        <v>29888.7</v>
      </c>
    </row>
    <row r="459" spans="1:7" x14ac:dyDescent="0.2">
      <c r="A459" s="3">
        <v>2016</v>
      </c>
      <c r="B459" s="3">
        <v>331</v>
      </c>
      <c r="C459" s="3" t="str">
        <f>VLOOKUP(B459, '[1]DAR area codes'!A:B,2,FALSE)</f>
        <v>maui</v>
      </c>
      <c r="D459" s="4">
        <v>32183.599999999999</v>
      </c>
      <c r="E459" s="6">
        <v>48213.4</v>
      </c>
      <c r="F459" s="3">
        <v>1234.6500000000001</v>
      </c>
      <c r="G459" s="3">
        <v>25204.85</v>
      </c>
    </row>
    <row r="460" spans="1:7" x14ac:dyDescent="0.2">
      <c r="A460" s="3">
        <v>2016</v>
      </c>
      <c r="B460" s="3">
        <v>332</v>
      </c>
      <c r="C460" s="3" t="str">
        <f>VLOOKUP(B460, '[1]DAR area codes'!A:B,2,FALSE)</f>
        <v>maui</v>
      </c>
      <c r="E460" s="6"/>
      <c r="F460" s="3">
        <v>0</v>
      </c>
      <c r="G460" s="3">
        <v>6221</v>
      </c>
    </row>
    <row r="461" spans="1:7" x14ac:dyDescent="0.2">
      <c r="A461" s="3">
        <v>2016</v>
      </c>
      <c r="B461" s="3">
        <v>333</v>
      </c>
      <c r="C461" s="3" t="str">
        <f>VLOOKUP(B461, '[1]DAR area codes'!A:B,2,FALSE)</f>
        <v>maui</v>
      </c>
      <c r="D461" s="4">
        <v>578.1</v>
      </c>
      <c r="E461" s="6"/>
      <c r="F461" s="3">
        <v>0</v>
      </c>
      <c r="G461" s="3">
        <v>5512</v>
      </c>
    </row>
    <row r="462" spans="1:7" x14ac:dyDescent="0.2">
      <c r="A462" s="3">
        <v>2016</v>
      </c>
      <c r="B462" s="3">
        <v>400</v>
      </c>
      <c r="C462" s="3" t="str">
        <f>VLOOKUP(B462, '[1]DAR area codes'!A:B,2,FALSE)</f>
        <v>oahu</v>
      </c>
      <c r="E462" s="6">
        <v>366.1</v>
      </c>
      <c r="F462" s="3">
        <v>10126.33</v>
      </c>
      <c r="G462" s="3">
        <v>540</v>
      </c>
    </row>
    <row r="463" spans="1:7" x14ac:dyDescent="0.2">
      <c r="A463" s="3">
        <v>2016</v>
      </c>
      <c r="B463" s="3">
        <v>401</v>
      </c>
      <c r="C463" s="3" t="str">
        <f>VLOOKUP(B463, '[1]DAR area codes'!A:B,2,FALSE)</f>
        <v>oahu</v>
      </c>
      <c r="D463" s="4">
        <v>166.5</v>
      </c>
      <c r="E463" s="6">
        <v>1456.42</v>
      </c>
      <c r="F463" s="3">
        <v>88102.59</v>
      </c>
      <c r="G463" s="3">
        <v>817.2</v>
      </c>
    </row>
    <row r="464" spans="1:7" x14ac:dyDescent="0.2">
      <c r="A464" s="3">
        <v>2016</v>
      </c>
      <c r="B464" s="3">
        <v>402</v>
      </c>
      <c r="C464" s="3" t="str">
        <f>VLOOKUP(B464, '[1]DAR area codes'!A:B,2,FALSE)</f>
        <v>oahu</v>
      </c>
      <c r="D464" s="4">
        <v>34.9</v>
      </c>
      <c r="E464" s="6">
        <v>609.12</v>
      </c>
      <c r="F464" s="3">
        <v>30187.52</v>
      </c>
      <c r="G464" s="3">
        <v>907.2</v>
      </c>
    </row>
    <row r="465" spans="1:7" x14ac:dyDescent="0.2">
      <c r="A465" s="3">
        <v>2016</v>
      </c>
      <c r="B465" s="3">
        <v>403</v>
      </c>
      <c r="C465" s="3" t="str">
        <f>VLOOKUP(B465, '[1]DAR area codes'!A:B,2,FALSE)</f>
        <v>oahu</v>
      </c>
      <c r="D465" s="4">
        <v>521.85</v>
      </c>
      <c r="E465" s="6">
        <v>4555.75</v>
      </c>
      <c r="F465" s="3">
        <v>62117.61</v>
      </c>
      <c r="G465" s="3">
        <v>12455.95</v>
      </c>
    </row>
    <row r="466" spans="1:7" x14ac:dyDescent="0.2">
      <c r="A466" s="3">
        <v>2016</v>
      </c>
      <c r="B466" s="3">
        <v>404</v>
      </c>
      <c r="C466" s="3" t="str">
        <f>VLOOKUP(B466, '[1]DAR area codes'!A:B,2,FALSE)</f>
        <v>oahu</v>
      </c>
      <c r="D466" s="4">
        <v>1786.5</v>
      </c>
      <c r="E466" s="6">
        <v>1435.4</v>
      </c>
      <c r="F466" s="3">
        <v>38025.30999999999</v>
      </c>
      <c r="G466" s="3">
        <v>1473.5</v>
      </c>
    </row>
    <row r="467" spans="1:7" x14ac:dyDescent="0.2">
      <c r="A467" s="3">
        <v>2016</v>
      </c>
      <c r="B467" s="3">
        <v>405</v>
      </c>
      <c r="C467" s="3" t="str">
        <f>VLOOKUP(B467, '[1]DAR area codes'!A:B,2,FALSE)</f>
        <v>oahu</v>
      </c>
      <c r="D467" s="4">
        <v>1249.5</v>
      </c>
      <c r="E467" s="6">
        <v>372.7</v>
      </c>
      <c r="F467" s="3">
        <v>28696.880000000001</v>
      </c>
      <c r="G467" s="3">
        <v>55</v>
      </c>
    </row>
    <row r="468" spans="1:7" x14ac:dyDescent="0.2">
      <c r="A468" s="3">
        <v>2016</v>
      </c>
      <c r="B468" s="3">
        <v>406</v>
      </c>
      <c r="C468" s="3" t="str">
        <f>VLOOKUP(B468, '[1]DAR area codes'!A:B,2,FALSE)</f>
        <v>oahu</v>
      </c>
      <c r="E468" s="6">
        <v>320.17</v>
      </c>
      <c r="F468" s="3">
        <v>32667.620000000003</v>
      </c>
      <c r="G468" s="3">
        <v>0</v>
      </c>
    </row>
    <row r="469" spans="1:7" x14ac:dyDescent="0.2">
      <c r="A469" s="3">
        <v>2016</v>
      </c>
      <c r="B469" s="3">
        <v>407</v>
      </c>
      <c r="C469" s="3" t="str">
        <f>VLOOKUP(B469, '[1]DAR area codes'!A:B,2,FALSE)</f>
        <v>oahu</v>
      </c>
      <c r="D469" s="4">
        <v>718.3</v>
      </c>
      <c r="E469" s="6">
        <v>651.49</v>
      </c>
      <c r="F469" s="3">
        <v>34850.18</v>
      </c>
      <c r="G469" s="3">
        <v>70.5</v>
      </c>
    </row>
    <row r="470" spans="1:7" x14ac:dyDescent="0.2">
      <c r="A470" s="3">
        <v>2016</v>
      </c>
      <c r="B470" s="3">
        <v>408</v>
      </c>
      <c r="C470" s="3" t="str">
        <f>VLOOKUP(B470, '[1]DAR area codes'!A:B,2,FALSE)</f>
        <v>oahu</v>
      </c>
      <c r="E470" s="6">
        <v>48.4</v>
      </c>
      <c r="F470" s="3">
        <v>12040.559999999996</v>
      </c>
      <c r="G470" s="3">
        <v>267</v>
      </c>
    </row>
    <row r="471" spans="1:7" x14ac:dyDescent="0.2">
      <c r="A471" s="3">
        <v>2016</v>
      </c>
      <c r="B471" s="3">
        <v>409</v>
      </c>
      <c r="C471" s="3" t="str">
        <f>VLOOKUP(B471, '[1]DAR area codes'!A:B,2,FALSE)</f>
        <v>oahu</v>
      </c>
      <c r="D471" s="4">
        <v>585.75</v>
      </c>
      <c r="E471" s="6">
        <v>563.70000000000005</v>
      </c>
      <c r="F471" s="3">
        <v>30690.37</v>
      </c>
      <c r="G471" s="3">
        <v>523</v>
      </c>
    </row>
    <row r="472" spans="1:7" x14ac:dyDescent="0.2">
      <c r="A472" s="3">
        <v>2016</v>
      </c>
      <c r="B472" s="3">
        <v>420</v>
      </c>
      <c r="C472" s="3" t="str">
        <f>VLOOKUP(B472, '[1]DAR area codes'!A:B,2,FALSE)</f>
        <v>oahu</v>
      </c>
      <c r="D472" s="4">
        <v>227.5</v>
      </c>
      <c r="E472" s="6"/>
      <c r="F472" s="3">
        <v>560.88</v>
      </c>
      <c r="G472" s="3">
        <v>9755</v>
      </c>
    </row>
    <row r="473" spans="1:7" x14ac:dyDescent="0.2">
      <c r="A473" s="3">
        <v>2016</v>
      </c>
      <c r="B473" s="3">
        <v>421</v>
      </c>
      <c r="C473" s="3" t="str">
        <f>VLOOKUP(B473, '[1]DAR area codes'!A:B,2,FALSE)</f>
        <v>oahu</v>
      </c>
      <c r="D473" s="4">
        <v>1332</v>
      </c>
      <c r="E473" s="6">
        <v>482</v>
      </c>
      <c r="F473" s="3">
        <v>26</v>
      </c>
      <c r="G473" s="3">
        <v>74986.7</v>
      </c>
    </row>
    <row r="474" spans="1:7" x14ac:dyDescent="0.2">
      <c r="A474" s="3">
        <v>2016</v>
      </c>
      <c r="B474" s="3">
        <v>422</v>
      </c>
      <c r="C474" s="3" t="str">
        <f>VLOOKUP(B474, '[1]DAR area codes'!A:B,2,FALSE)</f>
        <v>oahu</v>
      </c>
      <c r="D474" s="4">
        <v>112</v>
      </c>
      <c r="E474" s="6"/>
      <c r="F474" s="3">
        <v>0</v>
      </c>
      <c r="G474" s="3">
        <v>49718.600000000006</v>
      </c>
    </row>
    <row r="475" spans="1:7" x14ac:dyDescent="0.2">
      <c r="A475" s="3">
        <v>2016</v>
      </c>
      <c r="B475" s="3">
        <v>423</v>
      </c>
      <c r="C475" s="3" t="str">
        <f>VLOOKUP(B475, '[1]DAR area codes'!A:B,2,FALSE)</f>
        <v>oahu</v>
      </c>
      <c r="D475" s="4">
        <v>2230.6999999999998</v>
      </c>
      <c r="E475" s="6">
        <v>939.45</v>
      </c>
      <c r="F475" s="3">
        <v>2180.5500000000002</v>
      </c>
      <c r="G475" s="3">
        <v>204664</v>
      </c>
    </row>
    <row r="476" spans="1:7" x14ac:dyDescent="0.2">
      <c r="A476" s="3">
        <v>2016</v>
      </c>
      <c r="B476" s="3">
        <v>424</v>
      </c>
      <c r="C476" s="3" t="str">
        <f>VLOOKUP(B476, '[1]DAR area codes'!A:B,2,FALSE)</f>
        <v>oahu</v>
      </c>
      <c r="D476" s="4">
        <v>460.5</v>
      </c>
      <c r="E476" s="6">
        <v>479.5</v>
      </c>
      <c r="F476" s="3">
        <v>3828.16</v>
      </c>
      <c r="G476" s="3">
        <v>103025.29999999999</v>
      </c>
    </row>
    <row r="477" spans="1:7" x14ac:dyDescent="0.2">
      <c r="A477" s="3">
        <v>2016</v>
      </c>
      <c r="B477" s="3">
        <v>425</v>
      </c>
      <c r="C477" s="3" t="str">
        <f>VLOOKUP(B477, '[1]DAR area codes'!A:B,2,FALSE)</f>
        <v>oahu</v>
      </c>
      <c r="D477" s="4">
        <v>588</v>
      </c>
      <c r="E477" s="6"/>
      <c r="F477" s="3">
        <v>0</v>
      </c>
      <c r="G477" s="3">
        <v>116449.5</v>
      </c>
    </row>
    <row r="478" spans="1:7" x14ac:dyDescent="0.2">
      <c r="A478" s="3">
        <v>2016</v>
      </c>
      <c r="B478" s="3">
        <v>426</v>
      </c>
      <c r="C478" s="3" t="str">
        <f>VLOOKUP(B478, '[1]DAR area codes'!A:B,2,FALSE)</f>
        <v>oahu</v>
      </c>
      <c r="E478" s="6"/>
      <c r="F478" s="3">
        <v>0</v>
      </c>
      <c r="G478" s="3">
        <v>66471.100000000006</v>
      </c>
    </row>
    <row r="479" spans="1:7" x14ac:dyDescent="0.2">
      <c r="A479" s="3">
        <v>2016</v>
      </c>
      <c r="B479" s="3">
        <v>427</v>
      </c>
      <c r="C479" s="3" t="str">
        <f>VLOOKUP(B479, '[1]DAR area codes'!A:B,2,FALSE)</f>
        <v>oahu</v>
      </c>
      <c r="D479" s="4">
        <v>3059.2</v>
      </c>
      <c r="E479" s="6">
        <v>878.4</v>
      </c>
      <c r="F479" s="3">
        <v>0</v>
      </c>
      <c r="G479" s="3">
        <v>80609.399999999994</v>
      </c>
    </row>
    <row r="480" spans="1:7" x14ac:dyDescent="0.2">
      <c r="A480" s="3">
        <v>2016</v>
      </c>
      <c r="B480" s="3">
        <v>428</v>
      </c>
      <c r="C480" s="3" t="str">
        <f>VLOOKUP(B480, '[1]DAR area codes'!A:B,2,FALSE)</f>
        <v>oahu</v>
      </c>
      <c r="E480" s="6"/>
      <c r="F480" s="3">
        <v>0</v>
      </c>
      <c r="G480" s="3">
        <v>14070.5</v>
      </c>
    </row>
    <row r="481" spans="1:7" x14ac:dyDescent="0.2">
      <c r="A481" s="3">
        <v>2016</v>
      </c>
      <c r="B481" s="3">
        <v>429</v>
      </c>
      <c r="C481" s="3" t="str">
        <f>VLOOKUP(B481, '[1]DAR area codes'!A:B,2,FALSE)</f>
        <v>oahu</v>
      </c>
      <c r="D481" s="4">
        <v>2214.48</v>
      </c>
      <c r="E481" s="6">
        <v>711.7</v>
      </c>
      <c r="F481" s="3">
        <v>977.7</v>
      </c>
      <c r="G481" s="3">
        <v>3718</v>
      </c>
    </row>
    <row r="482" spans="1:7" x14ac:dyDescent="0.2">
      <c r="A482" s="3">
        <v>2016</v>
      </c>
      <c r="B482" s="3">
        <v>500</v>
      </c>
      <c r="C482" s="3" t="str">
        <f>VLOOKUP(B482, '[1]DAR area codes'!A:B,2,FALSE)</f>
        <v>kauai</v>
      </c>
      <c r="D482" s="4">
        <v>1004.2</v>
      </c>
      <c r="E482" s="6">
        <v>4086.2</v>
      </c>
      <c r="F482" s="3">
        <v>24124.100000000002</v>
      </c>
      <c r="G482" s="3">
        <v>3193</v>
      </c>
    </row>
    <row r="483" spans="1:7" x14ac:dyDescent="0.2">
      <c r="A483" s="3">
        <v>2016</v>
      </c>
      <c r="B483" s="3">
        <v>501</v>
      </c>
      <c r="C483" s="3" t="str">
        <f>VLOOKUP(B483, '[1]DAR area codes'!A:B,2,FALSE)</f>
        <v>kauai</v>
      </c>
      <c r="D483" s="4">
        <v>1492</v>
      </c>
      <c r="E483" s="6">
        <v>1363.6</v>
      </c>
      <c r="F483" s="3">
        <v>16867.600000000002</v>
      </c>
      <c r="G483" s="3">
        <v>3641.7</v>
      </c>
    </row>
    <row r="484" spans="1:7" x14ac:dyDescent="0.2">
      <c r="A484" s="3">
        <v>2016</v>
      </c>
      <c r="B484" s="3">
        <v>502</v>
      </c>
      <c r="C484" s="3" t="str">
        <f>VLOOKUP(B484, '[1]DAR area codes'!A:B,2,FALSE)</f>
        <v>kauai</v>
      </c>
      <c r="D484" s="4">
        <v>390.5</v>
      </c>
      <c r="E484" s="6"/>
      <c r="F484" s="3">
        <v>0</v>
      </c>
      <c r="G484" s="3">
        <v>0</v>
      </c>
    </row>
    <row r="485" spans="1:7" x14ac:dyDescent="0.2">
      <c r="A485" s="3">
        <v>2016</v>
      </c>
      <c r="B485" s="3">
        <v>503</v>
      </c>
      <c r="C485" s="3" t="str">
        <f>VLOOKUP(B485, '[1]DAR area codes'!A:B,2,FALSE)</f>
        <v>kauai</v>
      </c>
      <c r="E485" s="6"/>
      <c r="F485" s="3">
        <v>0</v>
      </c>
      <c r="G485" s="3">
        <v>2292</v>
      </c>
    </row>
    <row r="486" spans="1:7" x14ac:dyDescent="0.2">
      <c r="A486" s="3">
        <v>2016</v>
      </c>
      <c r="B486" s="3">
        <v>504</v>
      </c>
      <c r="C486" s="3" t="str">
        <f>VLOOKUP(B486, '[1]DAR area codes'!A:B,2,FALSE)</f>
        <v>kauai</v>
      </c>
      <c r="D486" s="4">
        <v>850.5</v>
      </c>
      <c r="E486" s="6">
        <v>1536.75</v>
      </c>
      <c r="F486" s="3">
        <v>8356.619999999999</v>
      </c>
      <c r="G486" s="3">
        <v>29064.3</v>
      </c>
    </row>
    <row r="487" spans="1:7" x14ac:dyDescent="0.2">
      <c r="A487" s="3">
        <v>2016</v>
      </c>
      <c r="B487" s="3">
        <v>505</v>
      </c>
      <c r="C487" s="3" t="str">
        <f>VLOOKUP(B487, '[1]DAR area codes'!A:B,2,FALSE)</f>
        <v>kauai</v>
      </c>
      <c r="D487" s="4">
        <v>1279</v>
      </c>
      <c r="E487" s="6">
        <v>7171.4</v>
      </c>
      <c r="F487" s="3">
        <v>2241.1000000000004</v>
      </c>
      <c r="G487" s="3">
        <v>6593</v>
      </c>
    </row>
    <row r="488" spans="1:7" x14ac:dyDescent="0.2">
      <c r="A488" s="3">
        <v>2016</v>
      </c>
      <c r="B488" s="3">
        <v>506</v>
      </c>
      <c r="C488" s="3" t="str">
        <f>VLOOKUP(B488, '[1]DAR area codes'!A:B,2,FALSE)</f>
        <v>kauai</v>
      </c>
      <c r="D488" s="4">
        <v>1413.5</v>
      </c>
      <c r="E488" s="6">
        <v>5446.1</v>
      </c>
      <c r="F488" s="3">
        <v>2646.8500000000004</v>
      </c>
      <c r="G488" s="3">
        <v>2848.5</v>
      </c>
    </row>
    <row r="489" spans="1:7" x14ac:dyDescent="0.2">
      <c r="A489" s="3">
        <v>2016</v>
      </c>
      <c r="B489" s="3">
        <v>507</v>
      </c>
      <c r="C489" s="3" t="str">
        <f>VLOOKUP(B489, '[1]DAR area codes'!A:B,2,FALSE)</f>
        <v>kauai</v>
      </c>
      <c r="E489" s="6"/>
      <c r="F489" s="3">
        <v>0</v>
      </c>
      <c r="G489" s="3">
        <v>0</v>
      </c>
    </row>
    <row r="490" spans="1:7" x14ac:dyDescent="0.2">
      <c r="A490" s="3">
        <v>2016</v>
      </c>
      <c r="B490" s="3">
        <v>508</v>
      </c>
      <c r="C490" s="3" t="str">
        <f>VLOOKUP(B490, '[1]DAR area codes'!A:B,2,FALSE)</f>
        <v>kauai</v>
      </c>
      <c r="D490" s="4">
        <v>2286</v>
      </c>
      <c r="E490" s="6"/>
      <c r="F490" s="3">
        <v>0</v>
      </c>
      <c r="G490" s="3">
        <v>43208.2</v>
      </c>
    </row>
    <row r="491" spans="1:7" x14ac:dyDescent="0.2">
      <c r="A491" s="3">
        <v>2016</v>
      </c>
      <c r="B491" s="3">
        <v>520</v>
      </c>
      <c r="C491" s="3" t="str">
        <f>VLOOKUP(B491, '[1]DAR area codes'!A:B,2,FALSE)</f>
        <v>kauai</v>
      </c>
      <c r="D491" s="4">
        <v>125.49</v>
      </c>
      <c r="E491" s="6">
        <v>1089</v>
      </c>
      <c r="F491" s="3">
        <v>5307</v>
      </c>
      <c r="G491" s="3">
        <v>184476.6</v>
      </c>
    </row>
    <row r="492" spans="1:7" x14ac:dyDescent="0.2">
      <c r="A492" s="3">
        <v>2016</v>
      </c>
      <c r="B492" s="3">
        <v>521</v>
      </c>
      <c r="C492" s="3" t="str">
        <f>VLOOKUP(B492, '[1]DAR area codes'!A:B,2,FALSE)</f>
        <v>kauai</v>
      </c>
      <c r="D492" s="4">
        <v>591</v>
      </c>
      <c r="E492" s="6">
        <v>782</v>
      </c>
      <c r="F492" s="3">
        <v>5682.5</v>
      </c>
      <c r="G492" s="3">
        <v>18875.099999999999</v>
      </c>
    </row>
    <row r="493" spans="1:7" x14ac:dyDescent="0.2">
      <c r="A493" s="3">
        <v>2016</v>
      </c>
      <c r="B493" s="3">
        <v>522</v>
      </c>
      <c r="C493" s="3" t="str">
        <f>VLOOKUP(B493, '[1]DAR area codes'!A:B,2,FALSE)</f>
        <v>kauai</v>
      </c>
      <c r="E493" s="6"/>
      <c r="F493" s="3">
        <v>0</v>
      </c>
      <c r="G493" s="3">
        <v>6143.6</v>
      </c>
    </row>
    <row r="494" spans="1:7" x14ac:dyDescent="0.2">
      <c r="A494" s="3">
        <v>2016</v>
      </c>
      <c r="B494" s="3">
        <v>523</v>
      </c>
      <c r="C494" s="3" t="str">
        <f>VLOOKUP(B494, '[1]DAR area codes'!A:B,2,FALSE)</f>
        <v>kauai</v>
      </c>
      <c r="E494" s="6"/>
      <c r="F494" s="3">
        <v>0</v>
      </c>
      <c r="G494" s="3">
        <v>34540.400000000001</v>
      </c>
    </row>
    <row r="495" spans="1:7" x14ac:dyDescent="0.2">
      <c r="A495" s="3">
        <v>2016</v>
      </c>
      <c r="B495" s="3">
        <v>524</v>
      </c>
      <c r="C495" s="3" t="str">
        <f>VLOOKUP(B495, '[1]DAR area codes'!A:B,2,FALSE)</f>
        <v>kauai</v>
      </c>
      <c r="D495" s="4">
        <v>886.7</v>
      </c>
      <c r="E495" s="6">
        <v>3577</v>
      </c>
      <c r="F495" s="3">
        <v>1926</v>
      </c>
      <c r="G495" s="3">
        <v>205911.94</v>
      </c>
    </row>
    <row r="496" spans="1:7" x14ac:dyDescent="0.2">
      <c r="A496" s="3">
        <v>2016</v>
      </c>
      <c r="B496" s="3">
        <v>525</v>
      </c>
      <c r="C496" s="3" t="str">
        <f>VLOOKUP(B496, '[1]DAR area codes'!A:B,2,FALSE)</f>
        <v>kauai</v>
      </c>
      <c r="E496" s="6"/>
      <c r="F496" s="3">
        <v>0</v>
      </c>
      <c r="G496" s="3">
        <v>8644.2999999999993</v>
      </c>
    </row>
    <row r="497" spans="1:7" x14ac:dyDescent="0.2">
      <c r="A497" s="3">
        <v>2016</v>
      </c>
      <c r="B497" s="3">
        <v>526</v>
      </c>
      <c r="C497" s="3" t="str">
        <f>VLOOKUP(B497, '[1]DAR area codes'!A:B,2,FALSE)</f>
        <v>kauai</v>
      </c>
      <c r="E497" s="6"/>
      <c r="F497" s="3">
        <v>0</v>
      </c>
      <c r="G497" s="3">
        <v>438</v>
      </c>
    </row>
    <row r="498" spans="1:7" x14ac:dyDescent="0.2">
      <c r="A498" s="3">
        <v>2016</v>
      </c>
      <c r="B498" s="3">
        <v>527</v>
      </c>
      <c r="C498" s="3" t="str">
        <f>VLOOKUP(B498, '[1]DAR area codes'!A:B,2,FALSE)</f>
        <v>kauai</v>
      </c>
      <c r="E498" s="6"/>
      <c r="F498" s="3">
        <v>0</v>
      </c>
      <c r="G498" s="3">
        <v>741.4</v>
      </c>
    </row>
    <row r="499" spans="1:7" x14ac:dyDescent="0.2">
      <c r="A499" s="3">
        <v>2016</v>
      </c>
      <c r="B499" s="3">
        <v>528</v>
      </c>
      <c r="C499" s="3" t="str">
        <f>VLOOKUP(B499, '[1]DAR area codes'!A:B,2,FALSE)</f>
        <v>kauai</v>
      </c>
      <c r="D499" s="4">
        <v>6301.2</v>
      </c>
      <c r="E499" s="6"/>
      <c r="F499" s="3">
        <v>0</v>
      </c>
      <c r="G499" s="3">
        <v>19876.8</v>
      </c>
    </row>
    <row r="500" spans="1:7" x14ac:dyDescent="0.2">
      <c r="A500" s="3">
        <v>2015</v>
      </c>
      <c r="B500" s="3">
        <v>100</v>
      </c>
      <c r="C500" s="3" t="str">
        <f>VLOOKUP(B500, '[1]DAR area codes'!A:B,2,FALSE)</f>
        <v>hawaii</v>
      </c>
      <c r="D500" s="4">
        <v>3608.2</v>
      </c>
      <c r="E500" s="6">
        <v>320.8</v>
      </c>
      <c r="F500" s="3">
        <v>4455.2299999999996</v>
      </c>
      <c r="G500" s="3">
        <v>40825.1</v>
      </c>
    </row>
    <row r="501" spans="1:7" x14ac:dyDescent="0.2">
      <c r="A501" s="3">
        <v>2015</v>
      </c>
      <c r="B501" s="3">
        <v>101</v>
      </c>
      <c r="C501" s="3" t="str">
        <f>VLOOKUP(B501, '[1]DAR area codes'!A:B,2,FALSE)</f>
        <v>hawaii</v>
      </c>
      <c r="D501" s="4">
        <v>3653.61</v>
      </c>
      <c r="E501" s="6">
        <v>2958.05</v>
      </c>
      <c r="F501" s="3">
        <v>128952.58</v>
      </c>
      <c r="G501" s="3">
        <v>107561.75</v>
      </c>
    </row>
    <row r="502" spans="1:7" x14ac:dyDescent="0.2">
      <c r="A502" s="3">
        <v>2015</v>
      </c>
      <c r="B502" s="3">
        <v>102</v>
      </c>
      <c r="C502" s="3" t="str">
        <f>VLOOKUP(B502, '[1]DAR area codes'!A:B,2,FALSE)</f>
        <v>hawaii</v>
      </c>
      <c r="D502" s="4">
        <v>4038.2</v>
      </c>
      <c r="E502" s="6">
        <v>8561.5</v>
      </c>
      <c r="F502" s="3">
        <v>6907.4400000000005</v>
      </c>
      <c r="G502" s="3">
        <v>32707.15</v>
      </c>
    </row>
    <row r="503" spans="1:7" x14ac:dyDescent="0.2">
      <c r="A503" s="3">
        <v>2015</v>
      </c>
      <c r="B503" s="3">
        <v>103</v>
      </c>
      <c r="C503" s="3" t="str">
        <f>VLOOKUP(B503, '[1]DAR area codes'!A:B,2,FALSE)</f>
        <v>hawaii</v>
      </c>
      <c r="D503" s="4">
        <v>4263</v>
      </c>
      <c r="E503" s="6"/>
      <c r="F503" s="3">
        <v>1034.9000000000001</v>
      </c>
      <c r="G503" s="3">
        <v>3114.3</v>
      </c>
    </row>
    <row r="504" spans="1:7" x14ac:dyDescent="0.2">
      <c r="A504" s="3">
        <v>2015</v>
      </c>
      <c r="B504" s="3">
        <v>104</v>
      </c>
      <c r="C504" s="3" t="str">
        <f>VLOOKUP(B504, '[1]DAR area codes'!A:B,2,FALSE)</f>
        <v>hawaii</v>
      </c>
      <c r="D504" s="4">
        <v>255.2</v>
      </c>
      <c r="E504" s="6"/>
      <c r="F504" s="3">
        <v>983.1</v>
      </c>
      <c r="G504" s="3">
        <v>2008.5</v>
      </c>
    </row>
    <row r="505" spans="1:7" x14ac:dyDescent="0.2">
      <c r="A505" s="3">
        <v>2015</v>
      </c>
      <c r="B505" s="3">
        <v>105</v>
      </c>
      <c r="C505" s="3" t="str">
        <f>VLOOKUP(B505, '[1]DAR area codes'!A:B,2,FALSE)</f>
        <v>hawaii</v>
      </c>
      <c r="D505" s="4">
        <v>1809.3</v>
      </c>
      <c r="E505" s="6">
        <v>598.6</v>
      </c>
      <c r="F505" s="3">
        <v>4197.8499999999995</v>
      </c>
      <c r="G505" s="3">
        <v>12757.2</v>
      </c>
    </row>
    <row r="506" spans="1:7" x14ac:dyDescent="0.2">
      <c r="A506" s="3">
        <v>2015</v>
      </c>
      <c r="B506" s="3">
        <v>106</v>
      </c>
      <c r="C506" s="3" t="str">
        <f>VLOOKUP(B506, '[1]DAR area codes'!A:B,2,FALSE)</f>
        <v>hawaii</v>
      </c>
      <c r="D506" s="4">
        <v>2708.3</v>
      </c>
      <c r="E506" s="6">
        <v>586.79999999999995</v>
      </c>
      <c r="F506" s="3">
        <v>13728.42</v>
      </c>
      <c r="G506" s="3">
        <v>86372.700000000012</v>
      </c>
    </row>
    <row r="507" spans="1:7" x14ac:dyDescent="0.2">
      <c r="A507" s="3">
        <v>2015</v>
      </c>
      <c r="B507" s="3">
        <v>107</v>
      </c>
      <c r="C507" s="3" t="str">
        <f>VLOOKUP(B507, '[1]DAR area codes'!A:B,2,FALSE)</f>
        <v>hawaii</v>
      </c>
      <c r="D507" s="4">
        <v>5401.8</v>
      </c>
      <c r="E507" s="6">
        <v>331.3</v>
      </c>
      <c r="F507" s="3">
        <v>5739.97</v>
      </c>
      <c r="G507" s="3">
        <v>11373.6</v>
      </c>
    </row>
    <row r="508" spans="1:7" x14ac:dyDescent="0.2">
      <c r="A508" s="3">
        <v>2015</v>
      </c>
      <c r="B508" s="3">
        <v>108</v>
      </c>
      <c r="C508" s="3" t="str">
        <f>VLOOKUP(B508, '[1]DAR area codes'!A:B,2,FALSE)</f>
        <v>hawaii</v>
      </c>
      <c r="D508" s="4">
        <v>2060.8000000000002</v>
      </c>
      <c r="E508" s="6">
        <v>925.7</v>
      </c>
      <c r="F508" s="3">
        <v>703.9</v>
      </c>
      <c r="G508" s="3">
        <v>27368.1</v>
      </c>
    </row>
    <row r="509" spans="1:7" x14ac:dyDescent="0.2">
      <c r="A509" s="3">
        <v>2015</v>
      </c>
      <c r="B509" s="3">
        <v>120</v>
      </c>
      <c r="C509" s="3" t="str">
        <f>VLOOKUP(B509, '[1]DAR area codes'!A:B,2,FALSE)</f>
        <v>hawaii</v>
      </c>
      <c r="D509" s="4">
        <v>5265.5</v>
      </c>
      <c r="E509" s="6"/>
      <c r="F509" s="3">
        <v>1036.6500000000001</v>
      </c>
      <c r="G509" s="3">
        <v>48685.600000000006</v>
      </c>
    </row>
    <row r="510" spans="1:7" x14ac:dyDescent="0.2">
      <c r="A510" s="3">
        <v>2015</v>
      </c>
      <c r="B510" s="3">
        <v>121</v>
      </c>
      <c r="C510" s="3" t="str">
        <f>VLOOKUP(B510, '[1]DAR area codes'!A:B,2,FALSE)</f>
        <v>hawaii</v>
      </c>
      <c r="D510" s="4">
        <v>4938.6000000000004</v>
      </c>
      <c r="E510" s="6">
        <v>2924.77</v>
      </c>
      <c r="F510" s="3">
        <v>38922.600000000006</v>
      </c>
      <c r="G510" s="3">
        <v>805338.15999999992</v>
      </c>
    </row>
    <row r="511" spans="1:7" x14ac:dyDescent="0.2">
      <c r="A511" s="3">
        <v>2015</v>
      </c>
      <c r="B511" s="3">
        <v>122</v>
      </c>
      <c r="C511" s="3" t="str">
        <f>VLOOKUP(B511, '[1]DAR area codes'!A:B,2,FALSE)</f>
        <v>hawaii</v>
      </c>
      <c r="D511" s="4">
        <v>14034.12</v>
      </c>
      <c r="E511" s="6">
        <v>4885.1400000000003</v>
      </c>
      <c r="F511" s="3">
        <v>1662.45</v>
      </c>
      <c r="G511" s="3">
        <v>147946.34999999998</v>
      </c>
    </row>
    <row r="512" spans="1:7" x14ac:dyDescent="0.2">
      <c r="A512" s="3">
        <v>2015</v>
      </c>
      <c r="B512" s="3">
        <v>123</v>
      </c>
      <c r="C512" s="3" t="str">
        <f>VLOOKUP(B512, '[1]DAR area codes'!A:B,2,FALSE)</f>
        <v>hawaii</v>
      </c>
      <c r="E512" s="6"/>
      <c r="F512" s="3">
        <v>0</v>
      </c>
      <c r="G512" s="3">
        <v>1587</v>
      </c>
    </row>
    <row r="513" spans="1:7" x14ac:dyDescent="0.2">
      <c r="A513" s="3">
        <v>2015</v>
      </c>
      <c r="B513" s="3">
        <v>124</v>
      </c>
      <c r="C513" s="3" t="str">
        <f>VLOOKUP(B513, '[1]DAR area codes'!A:B,2,FALSE)</f>
        <v>hawaii</v>
      </c>
      <c r="E513" s="6"/>
      <c r="F513" s="3">
        <v>0</v>
      </c>
      <c r="G513" s="3">
        <v>61650.400000000001</v>
      </c>
    </row>
    <row r="514" spans="1:7" x14ac:dyDescent="0.2">
      <c r="A514" s="3">
        <v>2015</v>
      </c>
      <c r="B514" s="3">
        <v>125</v>
      </c>
      <c r="C514" s="3" t="str">
        <f>VLOOKUP(B514, '[1]DAR area codes'!A:B,2,FALSE)</f>
        <v>hawaii</v>
      </c>
      <c r="D514" s="4">
        <v>2153.38</v>
      </c>
      <c r="E514" s="6"/>
      <c r="F514" s="3">
        <v>513.79999999999995</v>
      </c>
      <c r="G514" s="3">
        <v>215650.7</v>
      </c>
    </row>
    <row r="515" spans="1:7" x14ac:dyDescent="0.2">
      <c r="A515" s="3">
        <v>2015</v>
      </c>
      <c r="B515" s="3">
        <v>126</v>
      </c>
      <c r="C515" s="3" t="str">
        <f>VLOOKUP(B515, '[1]DAR area codes'!A:B,2,FALSE)</f>
        <v>hawaii</v>
      </c>
      <c r="D515" s="4">
        <v>3000.4</v>
      </c>
      <c r="E515" s="6">
        <v>192.1</v>
      </c>
      <c r="F515" s="3">
        <v>3144.8</v>
      </c>
      <c r="G515" s="3">
        <v>370315.3</v>
      </c>
    </row>
    <row r="516" spans="1:7" x14ac:dyDescent="0.2">
      <c r="A516" s="3">
        <v>2015</v>
      </c>
      <c r="B516" s="3">
        <v>127</v>
      </c>
      <c r="C516" s="3" t="str">
        <f>VLOOKUP(B516, '[1]DAR area codes'!A:B,2,FALSE)</f>
        <v>hawaii</v>
      </c>
      <c r="D516" s="4">
        <v>3654.2</v>
      </c>
      <c r="E516" s="6"/>
      <c r="F516" s="3">
        <v>40.82</v>
      </c>
      <c r="G516" s="3">
        <v>77431.7</v>
      </c>
    </row>
    <row r="517" spans="1:7" x14ac:dyDescent="0.2">
      <c r="A517" s="3">
        <v>2015</v>
      </c>
      <c r="B517" s="3">
        <v>128</v>
      </c>
      <c r="C517" s="3" t="str">
        <f>VLOOKUP(B517, '[1]DAR area codes'!A:B,2,FALSE)</f>
        <v>hawaii</v>
      </c>
      <c r="D517" s="4">
        <v>778.1</v>
      </c>
      <c r="E517" s="6">
        <v>100.9</v>
      </c>
      <c r="F517" s="3">
        <v>0</v>
      </c>
      <c r="G517" s="3">
        <v>37758.9</v>
      </c>
    </row>
    <row r="518" spans="1:7" x14ac:dyDescent="0.2">
      <c r="A518" s="3">
        <v>2015</v>
      </c>
      <c r="B518" s="3">
        <v>300</v>
      </c>
      <c r="C518" s="3" t="str">
        <f>VLOOKUP(B518, '[1]DAR area codes'!A:B,2,FALSE)</f>
        <v>maui</v>
      </c>
      <c r="D518" s="4">
        <v>465.7</v>
      </c>
      <c r="E518" s="6">
        <v>2921</v>
      </c>
      <c r="F518" s="3">
        <v>43301.64</v>
      </c>
      <c r="G518" s="3">
        <v>5430.6</v>
      </c>
    </row>
    <row r="519" spans="1:7" x14ac:dyDescent="0.2">
      <c r="A519" s="3">
        <v>2015</v>
      </c>
      <c r="B519" s="3">
        <v>301</v>
      </c>
      <c r="C519" s="3" t="str">
        <f>VLOOKUP(B519, '[1]DAR area codes'!A:B,2,FALSE)</f>
        <v>maui</v>
      </c>
      <c r="E519" s="6">
        <v>156</v>
      </c>
      <c r="F519" s="3">
        <v>3347</v>
      </c>
      <c r="G519" s="3">
        <v>0</v>
      </c>
    </row>
    <row r="520" spans="1:7" x14ac:dyDescent="0.2">
      <c r="A520" s="3">
        <v>2015</v>
      </c>
      <c r="B520" s="3">
        <v>302</v>
      </c>
      <c r="C520" s="3" t="str">
        <f>VLOOKUP(B520, '[1]DAR area codes'!A:B,2,FALSE)</f>
        <v>maui</v>
      </c>
      <c r="D520" s="4">
        <v>839.2</v>
      </c>
      <c r="E520" s="6"/>
      <c r="F520" s="3">
        <v>12402.5</v>
      </c>
      <c r="G520" s="3">
        <v>222.5</v>
      </c>
    </row>
    <row r="521" spans="1:7" x14ac:dyDescent="0.2">
      <c r="A521" s="3">
        <v>2015</v>
      </c>
      <c r="B521" s="3">
        <v>303</v>
      </c>
      <c r="C521" s="3" t="str">
        <f>VLOOKUP(B521, '[1]DAR area codes'!A:B,2,FALSE)</f>
        <v>maui</v>
      </c>
      <c r="D521" s="4">
        <v>370.75</v>
      </c>
      <c r="E521" s="6"/>
      <c r="F521" s="3">
        <v>1136.25</v>
      </c>
      <c r="G521" s="3">
        <v>896.2</v>
      </c>
    </row>
    <row r="522" spans="1:7" x14ac:dyDescent="0.2">
      <c r="A522" s="3">
        <v>2015</v>
      </c>
      <c r="B522" s="3">
        <v>304</v>
      </c>
      <c r="C522" s="3" t="str">
        <f>VLOOKUP(B522, '[1]DAR area codes'!A:B,2,FALSE)</f>
        <v>maui</v>
      </c>
      <c r="D522" s="4">
        <v>3114.7</v>
      </c>
      <c r="E522" s="6">
        <v>1194.5</v>
      </c>
      <c r="F522" s="3">
        <v>110</v>
      </c>
      <c r="G522" s="3">
        <v>1508.4</v>
      </c>
    </row>
    <row r="523" spans="1:7" x14ac:dyDescent="0.2">
      <c r="A523" s="3">
        <v>2015</v>
      </c>
      <c r="B523" s="3">
        <v>305</v>
      </c>
      <c r="C523" s="3" t="str">
        <f>VLOOKUP(B523, '[1]DAR area codes'!A:B,2,FALSE)</f>
        <v>maui</v>
      </c>
      <c r="D523" s="4">
        <v>7004.71</v>
      </c>
      <c r="E523" s="6">
        <v>1542.5</v>
      </c>
      <c r="F523" s="3">
        <v>659.65</v>
      </c>
      <c r="G523" s="3">
        <v>4785.5</v>
      </c>
    </row>
    <row r="524" spans="1:7" x14ac:dyDescent="0.2">
      <c r="A524" s="3">
        <v>2015</v>
      </c>
      <c r="B524" s="3">
        <v>306</v>
      </c>
      <c r="C524" s="3" t="str">
        <f>VLOOKUP(B524, '[1]DAR area codes'!A:B,2,FALSE)</f>
        <v>maui</v>
      </c>
      <c r="E524" s="6"/>
      <c r="F524" s="3">
        <v>0</v>
      </c>
      <c r="G524" s="3">
        <v>840</v>
      </c>
    </row>
    <row r="525" spans="1:7" x14ac:dyDescent="0.2">
      <c r="A525" s="3">
        <v>2015</v>
      </c>
      <c r="B525" s="3">
        <v>307</v>
      </c>
      <c r="C525" s="3" t="str">
        <f>VLOOKUP(B525, '[1]DAR area codes'!A:B,2,FALSE)</f>
        <v>maui</v>
      </c>
      <c r="E525" s="6"/>
      <c r="F525" s="3">
        <v>0</v>
      </c>
      <c r="G525" s="3">
        <v>0</v>
      </c>
    </row>
    <row r="526" spans="1:7" x14ac:dyDescent="0.2">
      <c r="A526" s="3">
        <v>2015</v>
      </c>
      <c r="B526" s="3">
        <v>308</v>
      </c>
      <c r="C526" s="3" t="str">
        <f>VLOOKUP(B526, '[1]DAR area codes'!A:B,2,FALSE)</f>
        <v>maui</v>
      </c>
      <c r="D526" s="4">
        <v>1681.12</v>
      </c>
      <c r="E526" s="6">
        <v>1995.38</v>
      </c>
      <c r="F526" s="3">
        <v>700</v>
      </c>
      <c r="G526" s="3">
        <v>33225.879999999997</v>
      </c>
    </row>
    <row r="527" spans="1:7" x14ac:dyDescent="0.2">
      <c r="A527" s="3">
        <v>2015</v>
      </c>
      <c r="B527" s="3">
        <v>309</v>
      </c>
      <c r="C527" s="3" t="str">
        <f>VLOOKUP(B527, '[1]DAR area codes'!A:B,2,FALSE)</f>
        <v>maui</v>
      </c>
      <c r="E527" s="6"/>
      <c r="F527" s="3">
        <v>87</v>
      </c>
      <c r="G527" s="3">
        <v>658.7</v>
      </c>
    </row>
    <row r="528" spans="1:7" x14ac:dyDescent="0.2">
      <c r="A528" s="3">
        <v>2015</v>
      </c>
      <c r="B528" s="3">
        <v>310</v>
      </c>
      <c r="C528" s="3" t="str">
        <f>VLOOKUP(B528, '[1]DAR area codes'!A:B,2,FALSE)</f>
        <v>maui</v>
      </c>
      <c r="E528" s="6"/>
      <c r="F528" s="3">
        <v>1242.6499999999999</v>
      </c>
      <c r="G528" s="3">
        <v>953.88</v>
      </c>
    </row>
    <row r="529" spans="1:7" x14ac:dyDescent="0.2">
      <c r="A529" s="3">
        <v>2015</v>
      </c>
      <c r="B529" s="3">
        <v>311</v>
      </c>
      <c r="C529" s="3" t="str">
        <f>VLOOKUP(B529, '[1]DAR area codes'!A:B,2,FALSE)</f>
        <v>maui</v>
      </c>
      <c r="E529" s="6">
        <v>154.28</v>
      </c>
      <c r="F529" s="3">
        <v>164</v>
      </c>
      <c r="G529" s="3">
        <v>503.87</v>
      </c>
    </row>
    <row r="530" spans="1:7" x14ac:dyDescent="0.2">
      <c r="A530" s="3">
        <v>2015</v>
      </c>
      <c r="B530" s="3">
        <v>312</v>
      </c>
      <c r="C530" s="3" t="str">
        <f>VLOOKUP(B530, '[1]DAR area codes'!A:B,2,FALSE)</f>
        <v>maui</v>
      </c>
      <c r="D530" s="4">
        <v>738</v>
      </c>
      <c r="E530" s="6"/>
      <c r="F530" s="3">
        <v>2758.74</v>
      </c>
      <c r="G530" s="3">
        <v>495</v>
      </c>
    </row>
    <row r="531" spans="1:7" x14ac:dyDescent="0.2">
      <c r="A531" s="3">
        <v>2015</v>
      </c>
      <c r="B531" s="3">
        <v>313</v>
      </c>
      <c r="C531" s="3" t="str">
        <f>VLOOKUP(B531, '[1]DAR area codes'!A:B,2,FALSE)</f>
        <v>maui</v>
      </c>
      <c r="D531" s="4">
        <v>2582.96</v>
      </c>
      <c r="E531" s="6"/>
      <c r="F531" s="3">
        <v>0</v>
      </c>
      <c r="G531" s="3">
        <v>869</v>
      </c>
    </row>
    <row r="532" spans="1:7" x14ac:dyDescent="0.2">
      <c r="A532" s="3">
        <v>2015</v>
      </c>
      <c r="B532" s="3">
        <v>314</v>
      </c>
      <c r="C532" s="3" t="str">
        <f>VLOOKUP(B532, '[1]DAR area codes'!A:B,2,FALSE)</f>
        <v>maui</v>
      </c>
      <c r="E532" s="6">
        <v>211.1</v>
      </c>
      <c r="F532" s="3">
        <v>0</v>
      </c>
      <c r="G532" s="3">
        <v>262.33999999999997</v>
      </c>
    </row>
    <row r="533" spans="1:7" x14ac:dyDescent="0.2">
      <c r="A533" s="3">
        <v>2015</v>
      </c>
      <c r="B533" s="3">
        <v>320</v>
      </c>
      <c r="C533" s="3" t="str">
        <f>VLOOKUP(B533, '[1]DAR area codes'!A:B,2,FALSE)</f>
        <v>maui</v>
      </c>
      <c r="D533" s="4">
        <v>35018.300000000003</v>
      </c>
      <c r="E533" s="6">
        <v>10304</v>
      </c>
      <c r="F533" s="3">
        <v>8082.8</v>
      </c>
      <c r="G533" s="3">
        <v>10541.949999999999</v>
      </c>
    </row>
    <row r="534" spans="1:7" x14ac:dyDescent="0.2">
      <c r="A534" s="3">
        <v>2015</v>
      </c>
      <c r="B534" s="3">
        <v>321</v>
      </c>
      <c r="C534" s="3" t="str">
        <f>VLOOKUP(B534, '[1]DAR area codes'!A:B,2,FALSE)</f>
        <v>maui</v>
      </c>
      <c r="D534" s="4">
        <v>20871.349999999999</v>
      </c>
      <c r="E534" s="6">
        <v>4152.13</v>
      </c>
      <c r="F534" s="3">
        <v>3058.05</v>
      </c>
      <c r="G534" s="3">
        <v>5466.51</v>
      </c>
    </row>
    <row r="535" spans="1:7" x14ac:dyDescent="0.2">
      <c r="A535" s="3">
        <v>2015</v>
      </c>
      <c r="B535" s="3">
        <v>322</v>
      </c>
      <c r="C535" s="3" t="str">
        <f>VLOOKUP(B535, '[1]DAR area codes'!A:B,2,FALSE)</f>
        <v>maui</v>
      </c>
      <c r="D535" s="4">
        <v>2005.2</v>
      </c>
      <c r="E535" s="6">
        <v>251</v>
      </c>
      <c r="F535" s="3">
        <v>0</v>
      </c>
      <c r="G535" s="3">
        <v>20947.599999999999</v>
      </c>
    </row>
    <row r="536" spans="1:7" x14ac:dyDescent="0.2">
      <c r="A536" s="3">
        <v>2015</v>
      </c>
      <c r="B536" s="3">
        <v>323</v>
      </c>
      <c r="C536" s="3" t="str">
        <f>VLOOKUP(B536, '[1]DAR area codes'!A:B,2,FALSE)</f>
        <v>maui</v>
      </c>
      <c r="E536" s="6">
        <v>1217.4000000000001</v>
      </c>
      <c r="F536" s="3">
        <v>0</v>
      </c>
      <c r="G536" s="3">
        <v>214287.6</v>
      </c>
    </row>
    <row r="537" spans="1:7" x14ac:dyDescent="0.2">
      <c r="A537" s="3">
        <v>2015</v>
      </c>
      <c r="B537" s="3">
        <v>324</v>
      </c>
      <c r="C537" s="3" t="str">
        <f>VLOOKUP(B537, '[1]DAR area codes'!A:B,2,FALSE)</f>
        <v>maui</v>
      </c>
      <c r="D537" s="4">
        <v>5363.5</v>
      </c>
      <c r="E537" s="6">
        <v>997.8</v>
      </c>
      <c r="F537" s="3">
        <v>68</v>
      </c>
      <c r="G537" s="3">
        <v>98898.799999999988</v>
      </c>
    </row>
    <row r="538" spans="1:7" x14ac:dyDescent="0.2">
      <c r="A538" s="3">
        <v>2015</v>
      </c>
      <c r="B538" s="3">
        <v>325</v>
      </c>
      <c r="C538" s="3" t="str">
        <f>VLOOKUP(B538, '[1]DAR area codes'!A:B,2,FALSE)</f>
        <v>maui</v>
      </c>
      <c r="D538" s="4">
        <v>3223.2</v>
      </c>
      <c r="E538" s="6"/>
      <c r="F538" s="3">
        <v>0</v>
      </c>
      <c r="G538" s="3">
        <v>4774.3999999999996</v>
      </c>
    </row>
    <row r="539" spans="1:7" x14ac:dyDescent="0.2">
      <c r="A539" s="3">
        <v>2015</v>
      </c>
      <c r="B539" s="3">
        <v>326</v>
      </c>
      <c r="C539" s="3" t="str">
        <f>VLOOKUP(B539, '[1]DAR area codes'!A:B,2,FALSE)</f>
        <v>maui</v>
      </c>
      <c r="D539" s="4">
        <v>1106.0999999999999</v>
      </c>
      <c r="E539" s="6"/>
      <c r="F539" s="3">
        <v>0</v>
      </c>
      <c r="G539" s="3">
        <v>1632</v>
      </c>
    </row>
    <row r="540" spans="1:7" x14ac:dyDescent="0.2">
      <c r="A540" s="3">
        <v>2015</v>
      </c>
      <c r="B540" s="3">
        <v>327</v>
      </c>
      <c r="C540" s="3" t="str">
        <f>VLOOKUP(B540, '[1]DAR area codes'!A:B,2,FALSE)</f>
        <v>maui</v>
      </c>
      <c r="D540" s="4">
        <v>28825.45</v>
      </c>
      <c r="E540" s="6">
        <v>8787.9</v>
      </c>
      <c r="F540" s="3">
        <v>88.7</v>
      </c>
      <c r="G540" s="3">
        <v>24759.599999999999</v>
      </c>
    </row>
    <row r="541" spans="1:7" x14ac:dyDescent="0.2">
      <c r="A541" s="3">
        <v>2015</v>
      </c>
      <c r="B541" s="3">
        <v>328</v>
      </c>
      <c r="C541" s="3" t="str">
        <f>VLOOKUP(B541, '[1]DAR area codes'!A:B,2,FALSE)</f>
        <v>maui</v>
      </c>
      <c r="D541" s="4">
        <v>1110.0999999999999</v>
      </c>
      <c r="E541" s="6"/>
      <c r="F541" s="3">
        <v>717</v>
      </c>
      <c r="G541" s="3">
        <v>19613.440000000002</v>
      </c>
    </row>
    <row r="542" spans="1:7" x14ac:dyDescent="0.2">
      <c r="A542" s="3">
        <v>2015</v>
      </c>
      <c r="B542" s="3">
        <v>331</v>
      </c>
      <c r="C542" s="3" t="str">
        <f>VLOOKUP(B542, '[1]DAR area codes'!A:B,2,FALSE)</f>
        <v>maui</v>
      </c>
      <c r="D542" s="4">
        <v>29797.4</v>
      </c>
      <c r="E542" s="6">
        <v>38569.85</v>
      </c>
      <c r="F542" s="3">
        <v>1143.8899999999999</v>
      </c>
      <c r="G542" s="3">
        <v>43494.1</v>
      </c>
    </row>
    <row r="543" spans="1:7" x14ac:dyDescent="0.2">
      <c r="A543" s="3">
        <v>2015</v>
      </c>
      <c r="B543" s="3">
        <v>332</v>
      </c>
      <c r="C543" s="3" t="str">
        <f>VLOOKUP(B543, '[1]DAR area codes'!A:B,2,FALSE)</f>
        <v>maui</v>
      </c>
      <c r="E543" s="6"/>
      <c r="F543" s="3">
        <v>0</v>
      </c>
      <c r="G543" s="3">
        <v>8411</v>
      </c>
    </row>
    <row r="544" spans="1:7" x14ac:dyDescent="0.2">
      <c r="A544" s="3">
        <v>2015</v>
      </c>
      <c r="B544" s="3">
        <v>333</v>
      </c>
      <c r="C544" s="3" t="str">
        <f>VLOOKUP(B544, '[1]DAR area codes'!A:B,2,FALSE)</f>
        <v>maui</v>
      </c>
      <c r="D544" s="4">
        <v>2104.4</v>
      </c>
      <c r="E544" s="6"/>
      <c r="F544" s="3">
        <v>0</v>
      </c>
      <c r="G544" s="3">
        <v>4257.75</v>
      </c>
    </row>
    <row r="545" spans="1:7" x14ac:dyDescent="0.2">
      <c r="A545" s="3">
        <v>2015</v>
      </c>
      <c r="B545" s="3">
        <v>400</v>
      </c>
      <c r="C545" s="3" t="str">
        <f>VLOOKUP(B545, '[1]DAR area codes'!A:B,2,FALSE)</f>
        <v>oahu</v>
      </c>
      <c r="E545" s="6"/>
      <c r="F545" s="3">
        <v>18638.55</v>
      </c>
      <c r="G545" s="3">
        <v>880.05</v>
      </c>
    </row>
    <row r="546" spans="1:7" x14ac:dyDescent="0.2">
      <c r="A546" s="3">
        <v>2015</v>
      </c>
      <c r="B546" s="3">
        <v>401</v>
      </c>
      <c r="C546" s="3" t="str">
        <f>VLOOKUP(B546, '[1]DAR area codes'!A:B,2,FALSE)</f>
        <v>oahu</v>
      </c>
      <c r="D546" s="4">
        <v>190.9</v>
      </c>
      <c r="E546" s="6">
        <v>2153.0100000000002</v>
      </c>
      <c r="F546" s="3">
        <v>120083.54999999999</v>
      </c>
      <c r="G546" s="3">
        <v>1495.4</v>
      </c>
    </row>
    <row r="547" spans="1:7" x14ac:dyDescent="0.2">
      <c r="A547" s="3">
        <v>2015</v>
      </c>
      <c r="B547" s="3">
        <v>402</v>
      </c>
      <c r="C547" s="3" t="str">
        <f>VLOOKUP(B547, '[1]DAR area codes'!A:B,2,FALSE)</f>
        <v>oahu</v>
      </c>
      <c r="D547" s="4">
        <v>73</v>
      </c>
      <c r="E547" s="6">
        <v>1143.96</v>
      </c>
      <c r="F547" s="3">
        <v>78947.75</v>
      </c>
      <c r="G547" s="3">
        <v>679</v>
      </c>
    </row>
    <row r="548" spans="1:7" x14ac:dyDescent="0.2">
      <c r="A548" s="3">
        <v>2015</v>
      </c>
      <c r="B548" s="3">
        <v>403</v>
      </c>
      <c r="C548" s="3" t="str">
        <f>VLOOKUP(B548, '[1]DAR area codes'!A:B,2,FALSE)</f>
        <v>oahu</v>
      </c>
      <c r="D548" s="4">
        <v>670.75</v>
      </c>
      <c r="E548" s="6">
        <v>5097.55</v>
      </c>
      <c r="F548" s="3">
        <v>112983.56</v>
      </c>
      <c r="G548" s="3">
        <v>18405</v>
      </c>
    </row>
    <row r="549" spans="1:7" x14ac:dyDescent="0.2">
      <c r="A549" s="3">
        <v>2015</v>
      </c>
      <c r="B549" s="3">
        <v>404</v>
      </c>
      <c r="C549" s="3" t="str">
        <f>VLOOKUP(B549, '[1]DAR area codes'!A:B,2,FALSE)</f>
        <v>oahu</v>
      </c>
      <c r="D549" s="4">
        <v>702</v>
      </c>
      <c r="E549" s="6">
        <v>2234</v>
      </c>
      <c r="F549" s="3">
        <v>43752.299999999996</v>
      </c>
      <c r="G549" s="3">
        <v>4211</v>
      </c>
    </row>
    <row r="550" spans="1:7" x14ac:dyDescent="0.2">
      <c r="A550" s="3">
        <v>2015</v>
      </c>
      <c r="B550" s="3">
        <v>405</v>
      </c>
      <c r="C550" s="3" t="str">
        <f>VLOOKUP(B550, '[1]DAR area codes'!A:B,2,FALSE)</f>
        <v>oahu</v>
      </c>
      <c r="D550" s="4">
        <v>3618.5</v>
      </c>
      <c r="E550" s="6">
        <v>1395.1</v>
      </c>
      <c r="F550" s="3">
        <v>26711.119999999999</v>
      </c>
      <c r="G550" s="3">
        <v>675.25</v>
      </c>
    </row>
    <row r="551" spans="1:7" x14ac:dyDescent="0.2">
      <c r="A551" s="3">
        <v>2015</v>
      </c>
      <c r="B551" s="3">
        <v>406</v>
      </c>
      <c r="C551" s="3" t="str">
        <f>VLOOKUP(B551, '[1]DAR area codes'!A:B,2,FALSE)</f>
        <v>oahu</v>
      </c>
      <c r="D551" s="4">
        <v>75</v>
      </c>
      <c r="E551" s="6">
        <v>819.12</v>
      </c>
      <c r="F551" s="3">
        <v>28806.93</v>
      </c>
      <c r="G551" s="3">
        <v>151</v>
      </c>
    </row>
    <row r="552" spans="1:7" x14ac:dyDescent="0.2">
      <c r="A552" s="3">
        <v>2015</v>
      </c>
      <c r="B552" s="3">
        <v>407</v>
      </c>
      <c r="C552" s="3" t="str">
        <f>VLOOKUP(B552, '[1]DAR area codes'!A:B,2,FALSE)</f>
        <v>oahu</v>
      </c>
      <c r="D552" s="4">
        <v>770.5</v>
      </c>
      <c r="E552" s="6">
        <v>787.96</v>
      </c>
      <c r="F552" s="3">
        <v>62446.12</v>
      </c>
      <c r="G552" s="3">
        <v>408</v>
      </c>
    </row>
    <row r="553" spans="1:7" x14ac:dyDescent="0.2">
      <c r="A553" s="3">
        <v>2015</v>
      </c>
      <c r="B553" s="3">
        <v>408</v>
      </c>
      <c r="C553" s="3" t="str">
        <f>VLOOKUP(B553, '[1]DAR area codes'!A:B,2,FALSE)</f>
        <v>oahu</v>
      </c>
      <c r="E553" s="6">
        <v>340.4</v>
      </c>
      <c r="F553" s="3">
        <v>2673.71</v>
      </c>
      <c r="G553" s="3">
        <v>576</v>
      </c>
    </row>
    <row r="554" spans="1:7" x14ac:dyDescent="0.2">
      <c r="A554" s="3">
        <v>2015</v>
      </c>
      <c r="B554" s="3">
        <v>409</v>
      </c>
      <c r="C554" s="3" t="str">
        <f>VLOOKUP(B554, '[1]DAR area codes'!A:B,2,FALSE)</f>
        <v>oahu</v>
      </c>
      <c r="D554" s="4">
        <v>479.5</v>
      </c>
      <c r="E554" s="6">
        <v>748.15</v>
      </c>
      <c r="F554" s="3">
        <v>43037.639999999992</v>
      </c>
      <c r="G554" s="3">
        <v>1408</v>
      </c>
    </row>
    <row r="555" spans="1:7" x14ac:dyDescent="0.2">
      <c r="A555" s="3">
        <v>2015</v>
      </c>
      <c r="B555" s="3">
        <v>420</v>
      </c>
      <c r="C555" s="3" t="str">
        <f>VLOOKUP(B555, '[1]DAR area codes'!A:B,2,FALSE)</f>
        <v>oahu</v>
      </c>
      <c r="D555" s="4">
        <v>297.5</v>
      </c>
      <c r="E555" s="6"/>
      <c r="F555" s="3">
        <v>0</v>
      </c>
      <c r="G555" s="3">
        <v>18063</v>
      </c>
    </row>
    <row r="556" spans="1:7" x14ac:dyDescent="0.2">
      <c r="A556" s="3">
        <v>2015</v>
      </c>
      <c r="B556" s="3">
        <v>421</v>
      </c>
      <c r="C556" s="3" t="str">
        <f>VLOOKUP(B556, '[1]DAR area codes'!A:B,2,FALSE)</f>
        <v>oahu</v>
      </c>
      <c r="D556" s="4">
        <v>257</v>
      </c>
      <c r="E556" s="6">
        <v>546.5</v>
      </c>
      <c r="F556" s="3">
        <v>54</v>
      </c>
      <c r="G556" s="3">
        <v>140638.15</v>
      </c>
    </row>
    <row r="557" spans="1:7" x14ac:dyDescent="0.2">
      <c r="A557" s="3">
        <v>2015</v>
      </c>
      <c r="B557" s="3">
        <v>422</v>
      </c>
      <c r="C557" s="3" t="str">
        <f>VLOOKUP(B557, '[1]DAR area codes'!A:B,2,FALSE)</f>
        <v>oahu</v>
      </c>
      <c r="E557" s="6"/>
      <c r="F557" s="3">
        <v>410.5</v>
      </c>
      <c r="G557" s="3">
        <v>61231</v>
      </c>
    </row>
    <row r="558" spans="1:7" x14ac:dyDescent="0.2">
      <c r="A558" s="3">
        <v>2015</v>
      </c>
      <c r="B558" s="3">
        <v>423</v>
      </c>
      <c r="C558" s="3" t="str">
        <f>VLOOKUP(B558, '[1]DAR area codes'!A:B,2,FALSE)</f>
        <v>oahu</v>
      </c>
      <c r="D558" s="4">
        <v>3197.8</v>
      </c>
      <c r="E558" s="6">
        <v>2116.3000000000002</v>
      </c>
      <c r="F558" s="3">
        <v>2850.63</v>
      </c>
      <c r="G558" s="3">
        <v>219667.84999999998</v>
      </c>
    </row>
    <row r="559" spans="1:7" x14ac:dyDescent="0.2">
      <c r="A559" s="3">
        <v>2015</v>
      </c>
      <c r="B559" s="3">
        <v>424</v>
      </c>
      <c r="C559" s="3" t="str">
        <f>VLOOKUP(B559, '[1]DAR area codes'!A:B,2,FALSE)</f>
        <v>oahu</v>
      </c>
      <c r="D559" s="4">
        <v>198.5</v>
      </c>
      <c r="E559" s="6">
        <v>1013</v>
      </c>
      <c r="F559" s="3">
        <v>7724.82</v>
      </c>
      <c r="G559" s="3">
        <v>32448.5</v>
      </c>
    </row>
    <row r="560" spans="1:7" x14ac:dyDescent="0.2">
      <c r="A560" s="3">
        <v>2015</v>
      </c>
      <c r="B560" s="3">
        <v>425</v>
      </c>
      <c r="C560" s="3" t="str">
        <f>VLOOKUP(B560, '[1]DAR area codes'!A:B,2,FALSE)</f>
        <v>oahu</v>
      </c>
      <c r="D560" s="4">
        <v>508</v>
      </c>
      <c r="E560" s="6"/>
      <c r="F560" s="3">
        <v>128</v>
      </c>
      <c r="G560" s="3">
        <v>96452.95</v>
      </c>
    </row>
    <row r="561" spans="1:7" x14ac:dyDescent="0.2">
      <c r="A561" s="3">
        <v>2015</v>
      </c>
      <c r="B561" s="3">
        <v>426</v>
      </c>
      <c r="C561" s="3" t="str">
        <f>VLOOKUP(B561, '[1]DAR area codes'!A:B,2,FALSE)</f>
        <v>oahu</v>
      </c>
      <c r="E561" s="6"/>
      <c r="F561" s="3">
        <v>0</v>
      </c>
      <c r="G561" s="3">
        <v>75713.5</v>
      </c>
    </row>
    <row r="562" spans="1:7" x14ac:dyDescent="0.2">
      <c r="A562" s="3">
        <v>2015</v>
      </c>
      <c r="B562" s="3">
        <v>427</v>
      </c>
      <c r="C562" s="3" t="str">
        <f>VLOOKUP(B562, '[1]DAR area codes'!A:B,2,FALSE)</f>
        <v>oahu</v>
      </c>
      <c r="D562" s="4">
        <v>2340.8000000000002</v>
      </c>
      <c r="E562" s="6">
        <v>851.5</v>
      </c>
      <c r="F562" s="3">
        <v>0</v>
      </c>
      <c r="G562" s="3">
        <v>98606.3</v>
      </c>
    </row>
    <row r="563" spans="1:7" x14ac:dyDescent="0.2">
      <c r="A563" s="3">
        <v>2015</v>
      </c>
      <c r="B563" s="3">
        <v>428</v>
      </c>
      <c r="C563" s="3" t="str">
        <f>VLOOKUP(B563, '[1]DAR area codes'!A:B,2,FALSE)</f>
        <v>oahu</v>
      </c>
      <c r="E563" s="6"/>
      <c r="F563" s="3">
        <v>0</v>
      </c>
      <c r="G563" s="3">
        <v>12064</v>
      </c>
    </row>
    <row r="564" spans="1:7" x14ac:dyDescent="0.2">
      <c r="A564" s="3">
        <v>2015</v>
      </c>
      <c r="B564" s="3">
        <v>429</v>
      </c>
      <c r="C564" s="3" t="str">
        <f>VLOOKUP(B564, '[1]DAR area codes'!A:B,2,FALSE)</f>
        <v>oahu</v>
      </c>
      <c r="D564" s="4">
        <v>1476</v>
      </c>
      <c r="E564" s="6">
        <v>985.5</v>
      </c>
      <c r="F564" s="3">
        <v>255.5</v>
      </c>
      <c r="G564" s="3">
        <v>5074</v>
      </c>
    </row>
    <row r="565" spans="1:7" x14ac:dyDescent="0.2">
      <c r="A565" s="3">
        <v>2015</v>
      </c>
      <c r="B565" s="3">
        <v>500</v>
      </c>
      <c r="C565" s="3" t="str">
        <f>VLOOKUP(B565, '[1]DAR area codes'!A:B,2,FALSE)</f>
        <v>kauai</v>
      </c>
      <c r="D565" s="4">
        <v>1396</v>
      </c>
      <c r="E565" s="6">
        <v>6306.4</v>
      </c>
      <c r="F565" s="3">
        <v>28036.22</v>
      </c>
      <c r="G565" s="3">
        <v>5550.6</v>
      </c>
    </row>
    <row r="566" spans="1:7" x14ac:dyDescent="0.2">
      <c r="A566" s="3">
        <v>2015</v>
      </c>
      <c r="B566" s="3">
        <v>501</v>
      </c>
      <c r="C566" s="3" t="str">
        <f>VLOOKUP(B566, '[1]DAR area codes'!A:B,2,FALSE)</f>
        <v>kauai</v>
      </c>
      <c r="D566" s="4">
        <v>2026.5</v>
      </c>
      <c r="E566" s="6">
        <v>2166.4</v>
      </c>
      <c r="F566" s="3">
        <v>15910.3</v>
      </c>
      <c r="G566" s="3">
        <v>6566.7</v>
      </c>
    </row>
    <row r="567" spans="1:7" x14ac:dyDescent="0.2">
      <c r="A567" s="3">
        <v>2015</v>
      </c>
      <c r="B567" s="3">
        <v>502</v>
      </c>
      <c r="C567" s="3" t="str">
        <f>VLOOKUP(B567, '[1]DAR area codes'!A:B,2,FALSE)</f>
        <v>kauai</v>
      </c>
      <c r="D567" s="4">
        <v>599</v>
      </c>
      <c r="E567" s="6"/>
      <c r="F567" s="3">
        <v>0</v>
      </c>
      <c r="G567" s="3">
        <v>0</v>
      </c>
    </row>
    <row r="568" spans="1:7" x14ac:dyDescent="0.2">
      <c r="A568" s="3">
        <v>2015</v>
      </c>
      <c r="B568" s="3">
        <v>503</v>
      </c>
      <c r="C568" s="3" t="str">
        <f>VLOOKUP(B568, '[1]DAR area codes'!A:B,2,FALSE)</f>
        <v>kauai</v>
      </c>
      <c r="D568" s="4">
        <v>2676.5</v>
      </c>
      <c r="E568" s="6"/>
      <c r="F568" s="3">
        <v>118.8</v>
      </c>
      <c r="G568" s="3">
        <v>1183</v>
      </c>
    </row>
    <row r="569" spans="1:7" x14ac:dyDescent="0.2">
      <c r="A569" s="3">
        <v>2015</v>
      </c>
      <c r="B569" s="3">
        <v>504</v>
      </c>
      <c r="C569" s="3" t="str">
        <f>VLOOKUP(B569, '[1]DAR area codes'!A:B,2,FALSE)</f>
        <v>kauai</v>
      </c>
      <c r="D569" s="4">
        <v>1332.8</v>
      </c>
      <c r="E569" s="6">
        <v>805.35</v>
      </c>
      <c r="F569" s="3">
        <v>17233.75</v>
      </c>
      <c r="G569" s="3">
        <v>108589.85</v>
      </c>
    </row>
    <row r="570" spans="1:7" x14ac:dyDescent="0.2">
      <c r="A570" s="3">
        <v>2015</v>
      </c>
      <c r="B570" s="3">
        <v>505</v>
      </c>
      <c r="C570" s="3" t="str">
        <f>VLOOKUP(B570, '[1]DAR area codes'!A:B,2,FALSE)</f>
        <v>kauai</v>
      </c>
      <c r="D570" s="4">
        <v>815</v>
      </c>
      <c r="E570" s="6">
        <v>10939.4</v>
      </c>
      <c r="F570" s="3">
        <v>569.5</v>
      </c>
      <c r="G570" s="3">
        <v>10077.5</v>
      </c>
    </row>
    <row r="571" spans="1:7" x14ac:dyDescent="0.2">
      <c r="A571" s="3">
        <v>2015</v>
      </c>
      <c r="B571" s="3">
        <v>506</v>
      </c>
      <c r="C571" s="3" t="str">
        <f>VLOOKUP(B571, '[1]DAR area codes'!A:B,2,FALSE)</f>
        <v>kauai</v>
      </c>
      <c r="D571" s="4">
        <v>3414</v>
      </c>
      <c r="E571" s="6">
        <v>6022.9</v>
      </c>
      <c r="F571" s="3">
        <v>4332.2000000000007</v>
      </c>
      <c r="G571" s="3">
        <v>3018.5</v>
      </c>
    </row>
    <row r="572" spans="1:7" x14ac:dyDescent="0.2">
      <c r="A572" s="3">
        <v>2015</v>
      </c>
      <c r="B572" s="3">
        <v>507</v>
      </c>
      <c r="C572" s="3" t="str">
        <f>VLOOKUP(B572, '[1]DAR area codes'!A:B,2,FALSE)</f>
        <v>kauai</v>
      </c>
      <c r="E572" s="6"/>
      <c r="F572" s="3">
        <v>0</v>
      </c>
      <c r="G572" s="3">
        <v>0</v>
      </c>
    </row>
    <row r="573" spans="1:7" x14ac:dyDescent="0.2">
      <c r="A573" s="3">
        <v>2015</v>
      </c>
      <c r="B573" s="3">
        <v>508</v>
      </c>
      <c r="C573" s="3" t="str">
        <f>VLOOKUP(B573, '[1]DAR area codes'!A:B,2,FALSE)</f>
        <v>kauai</v>
      </c>
      <c r="E573" s="6"/>
      <c r="F573" s="3">
        <v>0</v>
      </c>
      <c r="G573" s="3">
        <v>29441.5</v>
      </c>
    </row>
    <row r="574" spans="1:7" x14ac:dyDescent="0.2">
      <c r="A574" s="3">
        <v>2015</v>
      </c>
      <c r="B574" s="3">
        <v>520</v>
      </c>
      <c r="C574" s="3" t="str">
        <f>VLOOKUP(B574, '[1]DAR area codes'!A:B,2,FALSE)</f>
        <v>kauai</v>
      </c>
      <c r="D574" s="4">
        <v>264</v>
      </c>
      <c r="E574" s="6">
        <v>2186.6999999999998</v>
      </c>
      <c r="F574" s="3">
        <v>5380.5</v>
      </c>
      <c r="G574" s="3">
        <v>245096.65000000002</v>
      </c>
    </row>
    <row r="575" spans="1:7" x14ac:dyDescent="0.2">
      <c r="A575" s="3">
        <v>2015</v>
      </c>
      <c r="B575" s="3">
        <v>521</v>
      </c>
      <c r="C575" s="3" t="str">
        <f>VLOOKUP(B575, '[1]DAR area codes'!A:B,2,FALSE)</f>
        <v>kauai</v>
      </c>
      <c r="D575" s="4">
        <v>930.11</v>
      </c>
      <c r="E575" s="6">
        <v>486.6</v>
      </c>
      <c r="F575" s="3">
        <v>2638</v>
      </c>
      <c r="G575" s="3">
        <v>19793.7</v>
      </c>
    </row>
    <row r="576" spans="1:7" x14ac:dyDescent="0.2">
      <c r="A576" s="3">
        <v>2015</v>
      </c>
      <c r="B576" s="3">
        <v>522</v>
      </c>
      <c r="C576" s="3" t="str">
        <f>VLOOKUP(B576, '[1]DAR area codes'!A:B,2,FALSE)</f>
        <v>kauai</v>
      </c>
      <c r="E576" s="6"/>
      <c r="F576" s="3">
        <v>0</v>
      </c>
      <c r="G576" s="3">
        <v>10667.11</v>
      </c>
    </row>
    <row r="577" spans="1:7" x14ac:dyDescent="0.2">
      <c r="A577" s="3">
        <v>2015</v>
      </c>
      <c r="B577" s="3">
        <v>523</v>
      </c>
      <c r="C577" s="3" t="str">
        <f>VLOOKUP(B577, '[1]DAR area codes'!A:B,2,FALSE)</f>
        <v>kauai</v>
      </c>
      <c r="E577" s="6"/>
      <c r="F577" s="3">
        <v>0</v>
      </c>
      <c r="G577" s="3">
        <v>22394.02</v>
      </c>
    </row>
    <row r="578" spans="1:7" x14ac:dyDescent="0.2">
      <c r="A578" s="3">
        <v>2015</v>
      </c>
      <c r="B578" s="3">
        <v>524</v>
      </c>
      <c r="C578" s="3" t="str">
        <f>VLOOKUP(B578, '[1]DAR area codes'!A:B,2,FALSE)</f>
        <v>kauai</v>
      </c>
      <c r="D578" s="4">
        <v>2075.1999999999998</v>
      </c>
      <c r="E578" s="6">
        <v>3056</v>
      </c>
      <c r="F578" s="3">
        <v>2707.2</v>
      </c>
      <c r="G578" s="3">
        <v>129778.70000000001</v>
      </c>
    </row>
    <row r="579" spans="1:7" x14ac:dyDescent="0.2">
      <c r="A579" s="3">
        <v>2015</v>
      </c>
      <c r="B579" s="3">
        <v>525</v>
      </c>
      <c r="C579" s="3" t="str">
        <f>VLOOKUP(B579, '[1]DAR area codes'!A:B,2,FALSE)</f>
        <v>kauai</v>
      </c>
      <c r="D579" s="4">
        <v>766</v>
      </c>
      <c r="E579" s="6"/>
      <c r="F579" s="3">
        <v>0</v>
      </c>
      <c r="G579" s="3">
        <v>6351</v>
      </c>
    </row>
    <row r="580" spans="1:7" x14ac:dyDescent="0.2">
      <c r="A580" s="3">
        <v>2015</v>
      </c>
      <c r="B580" s="3">
        <v>526</v>
      </c>
      <c r="C580" s="3" t="str">
        <f>VLOOKUP(B580, '[1]DAR area codes'!A:B,2,FALSE)</f>
        <v>kauai</v>
      </c>
      <c r="E580" s="6"/>
      <c r="F580" s="3">
        <v>0</v>
      </c>
      <c r="G580" s="3">
        <v>0</v>
      </c>
    </row>
    <row r="581" spans="1:7" x14ac:dyDescent="0.2">
      <c r="A581" s="3">
        <v>2015</v>
      </c>
      <c r="B581" s="3">
        <v>527</v>
      </c>
      <c r="C581" s="3" t="str">
        <f>VLOOKUP(B581, '[1]DAR area codes'!A:B,2,FALSE)</f>
        <v>kauai</v>
      </c>
      <c r="E581" s="6"/>
      <c r="F581" s="3">
        <v>0</v>
      </c>
      <c r="G581" s="3">
        <v>4243</v>
      </c>
    </row>
    <row r="582" spans="1:7" x14ac:dyDescent="0.2">
      <c r="A582" s="3">
        <v>2015</v>
      </c>
      <c r="B582" s="3">
        <v>528</v>
      </c>
      <c r="C582" s="3" t="str">
        <f>VLOOKUP(B582, '[1]DAR area codes'!A:B,2,FALSE)</f>
        <v>kauai</v>
      </c>
      <c r="E582" s="6"/>
      <c r="F582" s="3">
        <v>0</v>
      </c>
      <c r="G582" s="3">
        <v>17758</v>
      </c>
    </row>
    <row r="583" spans="1:7" x14ac:dyDescent="0.2">
      <c r="A583" s="3">
        <v>2014</v>
      </c>
      <c r="B583" s="3">
        <v>100</v>
      </c>
      <c r="C583" s="3" t="str">
        <f>VLOOKUP(B583, '[1]DAR area codes'!A:B,2,FALSE)</f>
        <v>hawaii</v>
      </c>
      <c r="D583" s="4">
        <v>6538.5</v>
      </c>
      <c r="E583" s="6">
        <v>1250.8</v>
      </c>
      <c r="F583" s="3">
        <v>4665.37</v>
      </c>
      <c r="G583" s="3">
        <v>56880.9</v>
      </c>
    </row>
    <row r="584" spans="1:7" x14ac:dyDescent="0.2">
      <c r="A584" s="3">
        <v>2014</v>
      </c>
      <c r="B584" s="3">
        <v>101</v>
      </c>
      <c r="C584" s="3" t="str">
        <f>VLOOKUP(B584, '[1]DAR area codes'!A:B,2,FALSE)</f>
        <v>hawaii</v>
      </c>
      <c r="D584" s="4">
        <v>3068.8</v>
      </c>
      <c r="E584" s="6">
        <v>3248</v>
      </c>
      <c r="F584" s="3">
        <v>133878.74</v>
      </c>
      <c r="G584" s="3">
        <v>107071.31</v>
      </c>
    </row>
    <row r="585" spans="1:7" x14ac:dyDescent="0.2">
      <c r="A585" s="3">
        <v>2014</v>
      </c>
      <c r="B585" s="3">
        <v>102</v>
      </c>
      <c r="C585" s="3" t="str">
        <f>VLOOKUP(B585, '[1]DAR area codes'!A:B,2,FALSE)</f>
        <v>hawaii</v>
      </c>
      <c r="D585" s="4">
        <v>1767.3</v>
      </c>
      <c r="E585" s="6">
        <v>3188.3</v>
      </c>
      <c r="F585" s="3">
        <v>8560.2999999999993</v>
      </c>
      <c r="G585" s="3">
        <v>26355.200000000001</v>
      </c>
    </row>
    <row r="586" spans="1:7" x14ac:dyDescent="0.2">
      <c r="A586" s="3">
        <v>2014</v>
      </c>
      <c r="B586" s="3">
        <v>103</v>
      </c>
      <c r="C586" s="3" t="str">
        <f>VLOOKUP(B586, '[1]DAR area codes'!A:B,2,FALSE)</f>
        <v>hawaii</v>
      </c>
      <c r="D586" s="4">
        <v>8715.9</v>
      </c>
      <c r="E586" s="6">
        <v>167.5</v>
      </c>
      <c r="F586" s="3">
        <v>226.5</v>
      </c>
      <c r="G586" s="3">
        <v>2334</v>
      </c>
    </row>
    <row r="587" spans="1:7" x14ac:dyDescent="0.2">
      <c r="A587" s="3">
        <v>2014</v>
      </c>
      <c r="B587" s="3">
        <v>104</v>
      </c>
      <c r="C587" s="3" t="str">
        <f>VLOOKUP(B587, '[1]DAR area codes'!A:B,2,FALSE)</f>
        <v>hawaii</v>
      </c>
      <c r="D587" s="4">
        <v>73.3</v>
      </c>
      <c r="E587" s="6"/>
      <c r="F587" s="3">
        <v>628.79999999999995</v>
      </c>
      <c r="G587" s="3">
        <v>656</v>
      </c>
    </row>
    <row r="588" spans="1:7" x14ac:dyDescent="0.2">
      <c r="A588" s="3">
        <v>2014</v>
      </c>
      <c r="B588" s="3">
        <v>105</v>
      </c>
      <c r="C588" s="3" t="str">
        <f>VLOOKUP(B588, '[1]DAR area codes'!A:B,2,FALSE)</f>
        <v>hawaii</v>
      </c>
      <c r="D588" s="4">
        <v>3327.7</v>
      </c>
      <c r="E588" s="6">
        <v>328</v>
      </c>
      <c r="F588" s="3">
        <v>4152.55</v>
      </c>
      <c r="G588" s="3">
        <v>17209.5</v>
      </c>
    </row>
    <row r="589" spans="1:7" x14ac:dyDescent="0.2">
      <c r="A589" s="3">
        <v>2014</v>
      </c>
      <c r="B589" s="3">
        <v>106</v>
      </c>
      <c r="C589" s="3" t="str">
        <f>VLOOKUP(B589, '[1]DAR area codes'!A:B,2,FALSE)</f>
        <v>hawaii</v>
      </c>
      <c r="D589" s="4">
        <v>3428.5</v>
      </c>
      <c r="E589" s="6">
        <v>461</v>
      </c>
      <c r="F589" s="3">
        <v>12761.650000000001</v>
      </c>
      <c r="G589" s="3">
        <v>87146.4</v>
      </c>
    </row>
    <row r="590" spans="1:7" x14ac:dyDescent="0.2">
      <c r="A590" s="3">
        <v>2014</v>
      </c>
      <c r="B590" s="3">
        <v>107</v>
      </c>
      <c r="C590" s="3" t="str">
        <f>VLOOKUP(B590, '[1]DAR area codes'!A:B,2,FALSE)</f>
        <v>hawaii</v>
      </c>
      <c r="D590" s="4">
        <v>2569.9</v>
      </c>
      <c r="E590" s="6">
        <v>382.8</v>
      </c>
      <c r="F590" s="3">
        <v>5619.8</v>
      </c>
      <c r="G590" s="3">
        <v>14188.5</v>
      </c>
    </row>
    <row r="591" spans="1:7" x14ac:dyDescent="0.2">
      <c r="A591" s="3">
        <v>2014</v>
      </c>
      <c r="B591" s="3">
        <v>108</v>
      </c>
      <c r="C591" s="3" t="str">
        <f>VLOOKUP(B591, '[1]DAR area codes'!A:B,2,FALSE)</f>
        <v>hawaii</v>
      </c>
      <c r="D591" s="4">
        <v>756.9</v>
      </c>
      <c r="E591" s="6">
        <v>2876.9</v>
      </c>
      <c r="F591" s="3">
        <v>3340.1600000000003</v>
      </c>
      <c r="G591" s="3">
        <v>34173</v>
      </c>
    </row>
    <row r="592" spans="1:7" x14ac:dyDescent="0.2">
      <c r="A592" s="3">
        <v>2014</v>
      </c>
      <c r="B592" s="3">
        <v>120</v>
      </c>
      <c r="C592" s="3" t="str">
        <f>VLOOKUP(B592, '[1]DAR area codes'!A:B,2,FALSE)</f>
        <v>hawaii</v>
      </c>
      <c r="D592" s="4">
        <v>8238.7999999999993</v>
      </c>
      <c r="E592" s="6">
        <v>1004.1</v>
      </c>
      <c r="F592" s="3">
        <v>1414.7</v>
      </c>
      <c r="G592" s="3">
        <v>61526.8</v>
      </c>
    </row>
    <row r="593" spans="1:7" x14ac:dyDescent="0.2">
      <c r="A593" s="3">
        <v>2014</v>
      </c>
      <c r="B593" s="3">
        <v>121</v>
      </c>
      <c r="C593" s="3" t="str">
        <f>VLOOKUP(B593, '[1]DAR area codes'!A:B,2,FALSE)</f>
        <v>hawaii</v>
      </c>
      <c r="D593" s="4">
        <v>5455</v>
      </c>
      <c r="E593" s="6">
        <v>2000.4</v>
      </c>
      <c r="F593" s="3">
        <v>24814.48</v>
      </c>
      <c r="G593" s="3">
        <v>990238.71999999997</v>
      </c>
    </row>
    <row r="594" spans="1:7" x14ac:dyDescent="0.2">
      <c r="A594" s="3">
        <v>2014</v>
      </c>
      <c r="B594" s="3">
        <v>122</v>
      </c>
      <c r="C594" s="3" t="str">
        <f>VLOOKUP(B594, '[1]DAR area codes'!A:B,2,FALSE)</f>
        <v>hawaii</v>
      </c>
      <c r="D594" s="4">
        <v>16495.900000000001</v>
      </c>
      <c r="E594" s="6">
        <v>4153.7</v>
      </c>
      <c r="F594" s="3">
        <v>3028.7999999999997</v>
      </c>
      <c r="G594" s="3">
        <v>118554.69</v>
      </c>
    </row>
    <row r="595" spans="1:7" x14ac:dyDescent="0.2">
      <c r="A595" s="3">
        <v>2014</v>
      </c>
      <c r="B595" s="3">
        <v>123</v>
      </c>
      <c r="C595" s="3" t="str">
        <f>VLOOKUP(B595, '[1]DAR area codes'!A:B,2,FALSE)</f>
        <v>hawaii</v>
      </c>
      <c r="E595" s="6"/>
      <c r="F595" s="3">
        <v>0</v>
      </c>
      <c r="G595" s="3">
        <v>1554</v>
      </c>
    </row>
    <row r="596" spans="1:7" x14ac:dyDescent="0.2">
      <c r="A596" s="3">
        <v>2014</v>
      </c>
      <c r="B596" s="3">
        <v>124</v>
      </c>
      <c r="C596" s="3" t="str">
        <f>VLOOKUP(B596, '[1]DAR area codes'!A:B,2,FALSE)</f>
        <v>hawaii</v>
      </c>
      <c r="E596" s="6"/>
      <c r="F596" s="3">
        <v>0</v>
      </c>
      <c r="G596" s="3">
        <v>12773.6</v>
      </c>
    </row>
    <row r="597" spans="1:7" x14ac:dyDescent="0.2">
      <c r="A597" s="3">
        <v>2014</v>
      </c>
      <c r="B597" s="3">
        <v>125</v>
      </c>
      <c r="C597" s="3" t="str">
        <f>VLOOKUP(B597, '[1]DAR area codes'!A:B,2,FALSE)</f>
        <v>hawaii</v>
      </c>
      <c r="D597" s="4">
        <v>1524.5</v>
      </c>
      <c r="E597" s="6">
        <v>292.39999999999998</v>
      </c>
      <c r="F597" s="3">
        <v>381.7</v>
      </c>
      <c r="G597" s="3">
        <v>244962.1</v>
      </c>
    </row>
    <row r="598" spans="1:7" x14ac:dyDescent="0.2">
      <c r="A598" s="3">
        <v>2014</v>
      </c>
      <c r="B598" s="3">
        <v>126</v>
      </c>
      <c r="C598" s="3" t="str">
        <f>VLOOKUP(B598, '[1]DAR area codes'!A:B,2,FALSE)</f>
        <v>hawaii</v>
      </c>
      <c r="D598" s="4">
        <v>792.4</v>
      </c>
      <c r="E598" s="6">
        <v>312.3</v>
      </c>
      <c r="F598" s="3">
        <v>3306.2</v>
      </c>
      <c r="G598" s="3">
        <v>418326.80000000005</v>
      </c>
    </row>
    <row r="599" spans="1:7" x14ac:dyDescent="0.2">
      <c r="A599" s="3">
        <v>2014</v>
      </c>
      <c r="B599" s="3">
        <v>127</v>
      </c>
      <c r="C599" s="3" t="str">
        <f>VLOOKUP(B599, '[1]DAR area codes'!A:B,2,FALSE)</f>
        <v>hawaii</v>
      </c>
      <c r="D599" s="4">
        <v>1203.3</v>
      </c>
      <c r="E599" s="6">
        <v>114.3</v>
      </c>
      <c r="F599" s="3">
        <v>0</v>
      </c>
      <c r="G599" s="3">
        <v>144874.85</v>
      </c>
    </row>
    <row r="600" spans="1:7" x14ac:dyDescent="0.2">
      <c r="A600" s="3">
        <v>2014</v>
      </c>
      <c r="B600" s="3">
        <v>128</v>
      </c>
      <c r="C600" s="3" t="str">
        <f>VLOOKUP(B600, '[1]DAR area codes'!A:B,2,FALSE)</f>
        <v>hawaii</v>
      </c>
      <c r="D600" s="4">
        <v>2055</v>
      </c>
      <c r="E600" s="6">
        <v>1024.8</v>
      </c>
      <c r="F600" s="3">
        <v>0</v>
      </c>
      <c r="G600" s="3">
        <v>58233.600000000006</v>
      </c>
    </row>
    <row r="601" spans="1:7" x14ac:dyDescent="0.2">
      <c r="A601" s="3">
        <v>2014</v>
      </c>
      <c r="B601" s="3">
        <v>300</v>
      </c>
      <c r="C601" s="3" t="str">
        <f>VLOOKUP(B601, '[1]DAR area codes'!A:B,2,FALSE)</f>
        <v>maui</v>
      </c>
      <c r="E601" s="6">
        <v>2362.75</v>
      </c>
      <c r="F601" s="3">
        <v>57536.679999999993</v>
      </c>
      <c r="G601" s="3">
        <v>2685.5</v>
      </c>
    </row>
    <row r="602" spans="1:7" x14ac:dyDescent="0.2">
      <c r="A602" s="3">
        <v>2014</v>
      </c>
      <c r="B602" s="3">
        <v>301</v>
      </c>
      <c r="C602" s="3" t="str">
        <f>VLOOKUP(B602, '[1]DAR area codes'!A:B,2,FALSE)</f>
        <v>maui</v>
      </c>
      <c r="E602" s="6">
        <v>726</v>
      </c>
      <c r="F602" s="3">
        <v>2299.5</v>
      </c>
      <c r="G602" s="3">
        <v>113</v>
      </c>
    </row>
    <row r="603" spans="1:7" x14ac:dyDescent="0.2">
      <c r="A603" s="3">
        <v>2014</v>
      </c>
      <c r="B603" s="3">
        <v>302</v>
      </c>
      <c r="C603" s="3" t="str">
        <f>VLOOKUP(B603, '[1]DAR area codes'!A:B,2,FALSE)</f>
        <v>maui</v>
      </c>
      <c r="D603" s="4">
        <v>1159.2</v>
      </c>
      <c r="E603" s="6">
        <v>1079.45</v>
      </c>
      <c r="F603" s="3">
        <v>10159.5</v>
      </c>
      <c r="G603" s="3">
        <v>745.9</v>
      </c>
    </row>
    <row r="604" spans="1:7" x14ac:dyDescent="0.2">
      <c r="A604" s="3">
        <v>2014</v>
      </c>
      <c r="B604" s="3">
        <v>303</v>
      </c>
      <c r="C604" s="3" t="str">
        <f>VLOOKUP(B604, '[1]DAR area codes'!A:B,2,FALSE)</f>
        <v>maui</v>
      </c>
      <c r="D604" s="4">
        <v>675.2</v>
      </c>
      <c r="E604" s="6">
        <v>439.3</v>
      </c>
      <c r="F604" s="3">
        <v>2918.1</v>
      </c>
      <c r="G604" s="3">
        <v>2375.6</v>
      </c>
    </row>
    <row r="605" spans="1:7" x14ac:dyDescent="0.2">
      <c r="A605" s="3">
        <v>2014</v>
      </c>
      <c r="B605" s="3">
        <v>304</v>
      </c>
      <c r="C605" s="3" t="str">
        <f>VLOOKUP(B605, '[1]DAR area codes'!A:B,2,FALSE)</f>
        <v>maui</v>
      </c>
      <c r="D605" s="4">
        <v>3554.1</v>
      </c>
      <c r="E605" s="6">
        <v>1098.8</v>
      </c>
      <c r="F605" s="3">
        <v>366.15</v>
      </c>
      <c r="G605" s="3">
        <v>1585</v>
      </c>
    </row>
    <row r="606" spans="1:7" x14ac:dyDescent="0.2">
      <c r="A606" s="3">
        <v>2014</v>
      </c>
      <c r="B606" s="3">
        <v>305</v>
      </c>
      <c r="C606" s="3" t="str">
        <f>VLOOKUP(B606, '[1]DAR area codes'!A:B,2,FALSE)</f>
        <v>maui</v>
      </c>
      <c r="D606" s="4">
        <v>7231.2</v>
      </c>
      <c r="E606" s="6">
        <v>2125.6</v>
      </c>
      <c r="F606" s="3">
        <v>308.10000000000002</v>
      </c>
      <c r="G606" s="3">
        <v>4685</v>
      </c>
    </row>
    <row r="607" spans="1:7" x14ac:dyDescent="0.2">
      <c r="A607" s="3">
        <v>2014</v>
      </c>
      <c r="B607" s="3">
        <v>306</v>
      </c>
      <c r="C607" s="3" t="str">
        <f>VLOOKUP(B607, '[1]DAR area codes'!A:B,2,FALSE)</f>
        <v>maui</v>
      </c>
      <c r="E607" s="6"/>
      <c r="F607" s="3">
        <v>0</v>
      </c>
      <c r="G607" s="3">
        <v>2613.5</v>
      </c>
    </row>
    <row r="608" spans="1:7" x14ac:dyDescent="0.2">
      <c r="A608" s="3">
        <v>2014</v>
      </c>
      <c r="B608" s="3">
        <v>307</v>
      </c>
      <c r="C608" s="3" t="str">
        <f>VLOOKUP(B608, '[1]DAR area codes'!A:B,2,FALSE)</f>
        <v>maui</v>
      </c>
      <c r="E608" s="6"/>
      <c r="F608" s="3">
        <v>0</v>
      </c>
      <c r="G608" s="3">
        <v>1386</v>
      </c>
    </row>
    <row r="609" spans="1:7" x14ac:dyDescent="0.2">
      <c r="A609" s="3">
        <v>2014</v>
      </c>
      <c r="B609" s="3">
        <v>308</v>
      </c>
      <c r="C609" s="3" t="str">
        <f>VLOOKUP(B609, '[1]DAR area codes'!A:B,2,FALSE)</f>
        <v>maui</v>
      </c>
      <c r="E609" s="6">
        <v>1902.48</v>
      </c>
      <c r="F609" s="3">
        <v>1005.7</v>
      </c>
      <c r="G609" s="3">
        <v>21071.1</v>
      </c>
    </row>
    <row r="610" spans="1:7" x14ac:dyDescent="0.2">
      <c r="A610" s="3">
        <v>2014</v>
      </c>
      <c r="B610" s="3">
        <v>309</v>
      </c>
      <c r="C610" s="3" t="str">
        <f>VLOOKUP(B610, '[1]DAR area codes'!A:B,2,FALSE)</f>
        <v>maui</v>
      </c>
      <c r="E610" s="6"/>
      <c r="F610" s="3">
        <v>0</v>
      </c>
      <c r="G610" s="3">
        <v>1155</v>
      </c>
    </row>
    <row r="611" spans="1:7" x14ac:dyDescent="0.2">
      <c r="A611" s="3">
        <v>2014</v>
      </c>
      <c r="B611" s="3">
        <v>310</v>
      </c>
      <c r="C611" s="3" t="str">
        <f>VLOOKUP(B611, '[1]DAR area codes'!A:B,2,FALSE)</f>
        <v>maui</v>
      </c>
      <c r="E611" s="6"/>
      <c r="F611" s="3">
        <v>780.53</v>
      </c>
      <c r="G611" s="3">
        <v>1213.3600000000001</v>
      </c>
    </row>
    <row r="612" spans="1:7" x14ac:dyDescent="0.2">
      <c r="A612" s="3">
        <v>2014</v>
      </c>
      <c r="B612" s="3">
        <v>311</v>
      </c>
      <c r="C612" s="3" t="str">
        <f>VLOOKUP(B612, '[1]DAR area codes'!A:B,2,FALSE)</f>
        <v>maui</v>
      </c>
      <c r="D612" s="4">
        <v>716.5</v>
      </c>
      <c r="E612" s="6">
        <v>525.9</v>
      </c>
      <c r="F612" s="3">
        <v>1487</v>
      </c>
      <c r="G612" s="3">
        <v>402</v>
      </c>
    </row>
    <row r="613" spans="1:7" x14ac:dyDescent="0.2">
      <c r="A613" s="3">
        <v>2014</v>
      </c>
      <c r="B613" s="3">
        <v>312</v>
      </c>
      <c r="C613" s="3" t="str">
        <f>VLOOKUP(B613, '[1]DAR area codes'!A:B,2,FALSE)</f>
        <v>maui</v>
      </c>
      <c r="D613" s="4">
        <v>1721.25</v>
      </c>
      <c r="E613" s="6"/>
      <c r="F613" s="3">
        <v>5419.4</v>
      </c>
      <c r="G613" s="3">
        <v>980</v>
      </c>
    </row>
    <row r="614" spans="1:7" x14ac:dyDescent="0.2">
      <c r="A614" s="3">
        <v>2014</v>
      </c>
      <c r="B614" s="3">
        <v>313</v>
      </c>
      <c r="C614" s="3" t="str">
        <f>VLOOKUP(B614, '[1]DAR area codes'!A:B,2,FALSE)</f>
        <v>maui</v>
      </c>
      <c r="D614" s="4">
        <v>7910.75</v>
      </c>
      <c r="E614" s="6">
        <v>312.10000000000002</v>
      </c>
      <c r="F614" s="3">
        <v>0</v>
      </c>
      <c r="G614" s="3">
        <v>3856.4</v>
      </c>
    </row>
    <row r="615" spans="1:7" x14ac:dyDescent="0.2">
      <c r="A615" s="3">
        <v>2014</v>
      </c>
      <c r="B615" s="3">
        <v>314</v>
      </c>
      <c r="C615" s="3" t="str">
        <f>VLOOKUP(B615, '[1]DAR area codes'!A:B,2,FALSE)</f>
        <v>maui</v>
      </c>
      <c r="E615" s="6">
        <v>140</v>
      </c>
      <c r="F615" s="3">
        <v>453</v>
      </c>
      <c r="G615" s="3">
        <v>1781</v>
      </c>
    </row>
    <row r="616" spans="1:7" x14ac:dyDescent="0.2">
      <c r="A616" s="3">
        <v>2014</v>
      </c>
      <c r="B616" s="3">
        <v>320</v>
      </c>
      <c r="C616" s="3" t="str">
        <f>VLOOKUP(B616, '[1]DAR area codes'!A:B,2,FALSE)</f>
        <v>maui</v>
      </c>
      <c r="D616" s="4">
        <v>50715.88</v>
      </c>
      <c r="E616" s="6">
        <v>7833.1</v>
      </c>
      <c r="F616" s="3">
        <v>12184.349999999999</v>
      </c>
      <c r="G616" s="3">
        <v>31730.1</v>
      </c>
    </row>
    <row r="617" spans="1:7" x14ac:dyDescent="0.2">
      <c r="A617" s="3">
        <v>2014</v>
      </c>
      <c r="B617" s="3">
        <v>321</v>
      </c>
      <c r="C617" s="3" t="str">
        <f>VLOOKUP(B617, '[1]DAR area codes'!A:B,2,FALSE)</f>
        <v>maui</v>
      </c>
      <c r="D617" s="4">
        <v>24374.74</v>
      </c>
      <c r="E617" s="6">
        <v>2563.1999999999998</v>
      </c>
      <c r="F617" s="3">
        <v>3650.1</v>
      </c>
      <c r="G617" s="3">
        <v>6024.12</v>
      </c>
    </row>
    <row r="618" spans="1:7" x14ac:dyDescent="0.2">
      <c r="A618" s="3">
        <v>2014</v>
      </c>
      <c r="B618" s="3">
        <v>322</v>
      </c>
      <c r="C618" s="3" t="str">
        <f>VLOOKUP(B618, '[1]DAR area codes'!A:B,2,FALSE)</f>
        <v>maui</v>
      </c>
      <c r="D618" s="4">
        <v>4411.3</v>
      </c>
      <c r="E618" s="6">
        <v>518.5</v>
      </c>
      <c r="F618" s="3">
        <v>0</v>
      </c>
      <c r="G618" s="3">
        <v>22540.59</v>
      </c>
    </row>
    <row r="619" spans="1:7" x14ac:dyDescent="0.2">
      <c r="A619" s="3">
        <v>2014</v>
      </c>
      <c r="B619" s="3">
        <v>323</v>
      </c>
      <c r="C619" s="3" t="str">
        <f>VLOOKUP(B619, '[1]DAR area codes'!A:B,2,FALSE)</f>
        <v>maui</v>
      </c>
      <c r="D619" s="4">
        <v>1182.8</v>
      </c>
      <c r="E619" s="6"/>
      <c r="F619" s="3">
        <v>0</v>
      </c>
      <c r="G619" s="3">
        <v>152932.96</v>
      </c>
    </row>
    <row r="620" spans="1:7" x14ac:dyDescent="0.2">
      <c r="A620" s="3">
        <v>2014</v>
      </c>
      <c r="B620" s="3">
        <v>324</v>
      </c>
      <c r="C620" s="3" t="str">
        <f>VLOOKUP(B620, '[1]DAR area codes'!A:B,2,FALSE)</f>
        <v>maui</v>
      </c>
      <c r="D620" s="4">
        <v>6005.5</v>
      </c>
      <c r="E620" s="6">
        <v>922.5</v>
      </c>
      <c r="F620" s="3">
        <v>58</v>
      </c>
      <c r="G620" s="3">
        <v>144538.1</v>
      </c>
    </row>
    <row r="621" spans="1:7" x14ac:dyDescent="0.2">
      <c r="A621" s="3">
        <v>2014</v>
      </c>
      <c r="B621" s="3">
        <v>325</v>
      </c>
      <c r="C621" s="3" t="str">
        <f>VLOOKUP(B621, '[1]DAR area codes'!A:B,2,FALSE)</f>
        <v>maui</v>
      </c>
      <c r="D621" s="4">
        <v>5650.9</v>
      </c>
      <c r="E621" s="6"/>
      <c r="F621" s="3">
        <v>0</v>
      </c>
      <c r="G621" s="3">
        <v>6854.7</v>
      </c>
    </row>
    <row r="622" spans="1:7" x14ac:dyDescent="0.2">
      <c r="A622" s="3">
        <v>2014</v>
      </c>
      <c r="B622" s="3">
        <v>326</v>
      </c>
      <c r="C622" s="3" t="str">
        <f>VLOOKUP(B622, '[1]DAR area codes'!A:B,2,FALSE)</f>
        <v>maui</v>
      </c>
      <c r="E622" s="6"/>
      <c r="F622" s="3">
        <v>0</v>
      </c>
      <c r="G622" s="3">
        <v>3335.6</v>
      </c>
    </row>
    <row r="623" spans="1:7" x14ac:dyDescent="0.2">
      <c r="A623" s="3">
        <v>2014</v>
      </c>
      <c r="B623" s="3">
        <v>327</v>
      </c>
      <c r="C623" s="3" t="str">
        <f>VLOOKUP(B623, '[1]DAR area codes'!A:B,2,FALSE)</f>
        <v>maui</v>
      </c>
      <c r="D623" s="4">
        <v>28165.86</v>
      </c>
      <c r="E623" s="6">
        <v>7051.8</v>
      </c>
      <c r="F623" s="3">
        <v>33</v>
      </c>
      <c r="G623" s="3">
        <v>44831.61</v>
      </c>
    </row>
    <row r="624" spans="1:7" x14ac:dyDescent="0.2">
      <c r="A624" s="3">
        <v>2014</v>
      </c>
      <c r="B624" s="3">
        <v>328</v>
      </c>
      <c r="C624" s="3" t="str">
        <f>VLOOKUP(B624, '[1]DAR area codes'!A:B,2,FALSE)</f>
        <v>maui</v>
      </c>
      <c r="D624" s="4">
        <v>1611.1</v>
      </c>
      <c r="E624" s="6"/>
      <c r="F624" s="3">
        <v>0</v>
      </c>
      <c r="G624" s="3">
        <v>35826.9</v>
      </c>
    </row>
    <row r="625" spans="1:7" x14ac:dyDescent="0.2">
      <c r="A625" s="3">
        <v>2014</v>
      </c>
      <c r="B625" s="3">
        <v>331</v>
      </c>
      <c r="C625" s="3" t="str">
        <f>VLOOKUP(B625, '[1]DAR area codes'!A:B,2,FALSE)</f>
        <v>maui</v>
      </c>
      <c r="D625" s="4">
        <v>45943.35</v>
      </c>
      <c r="E625" s="6">
        <v>31695.24</v>
      </c>
      <c r="F625" s="3">
        <v>1134.19</v>
      </c>
      <c r="G625" s="3">
        <v>48569.5</v>
      </c>
    </row>
    <row r="626" spans="1:7" x14ac:dyDescent="0.2">
      <c r="A626" s="3">
        <v>2014</v>
      </c>
      <c r="B626" s="3">
        <v>332</v>
      </c>
      <c r="C626" s="3" t="str">
        <f>VLOOKUP(B626, '[1]DAR area codes'!A:B,2,FALSE)</f>
        <v>maui</v>
      </c>
      <c r="D626" s="4">
        <v>469.9</v>
      </c>
      <c r="E626" s="6"/>
      <c r="F626" s="3">
        <v>0</v>
      </c>
      <c r="G626" s="3">
        <v>6614</v>
      </c>
    </row>
    <row r="627" spans="1:7" x14ac:dyDescent="0.2">
      <c r="A627" s="3">
        <v>2014</v>
      </c>
      <c r="B627" s="3">
        <v>333</v>
      </c>
      <c r="C627" s="3" t="str">
        <f>VLOOKUP(B627, '[1]DAR area codes'!A:B,2,FALSE)</f>
        <v>maui</v>
      </c>
      <c r="D627" s="4">
        <v>2471.8000000000002</v>
      </c>
      <c r="E627" s="6"/>
      <c r="F627" s="3">
        <v>0</v>
      </c>
      <c r="G627" s="3">
        <v>2835.9</v>
      </c>
    </row>
    <row r="628" spans="1:7" x14ac:dyDescent="0.2">
      <c r="A628" s="3">
        <v>2014</v>
      </c>
      <c r="B628" s="3">
        <v>400</v>
      </c>
      <c r="C628" s="3" t="str">
        <f>VLOOKUP(B628, '[1]DAR area codes'!A:B,2,FALSE)</f>
        <v>oahu</v>
      </c>
      <c r="E628" s="6">
        <v>382.67</v>
      </c>
      <c r="F628" s="3">
        <v>18414.09</v>
      </c>
      <c r="G628" s="3">
        <v>952.75</v>
      </c>
    </row>
    <row r="629" spans="1:7" x14ac:dyDescent="0.2">
      <c r="A629" s="3">
        <v>2014</v>
      </c>
      <c r="B629" s="3">
        <v>401</v>
      </c>
      <c r="C629" s="3" t="str">
        <f>VLOOKUP(B629, '[1]DAR area codes'!A:B,2,FALSE)</f>
        <v>oahu</v>
      </c>
      <c r="D629" s="4">
        <v>1048.2</v>
      </c>
      <c r="E629" s="6">
        <v>4611.46</v>
      </c>
      <c r="F629" s="3">
        <v>85771.430000000008</v>
      </c>
      <c r="G629" s="3">
        <v>1801</v>
      </c>
    </row>
    <row r="630" spans="1:7" x14ac:dyDescent="0.2">
      <c r="A630" s="3">
        <v>2014</v>
      </c>
      <c r="B630" s="3">
        <v>402</v>
      </c>
      <c r="C630" s="3" t="str">
        <f>VLOOKUP(B630, '[1]DAR area codes'!A:B,2,FALSE)</f>
        <v>oahu</v>
      </c>
      <c r="D630" s="4">
        <v>83</v>
      </c>
      <c r="E630" s="6">
        <v>1358.3</v>
      </c>
      <c r="F630" s="3">
        <v>72130</v>
      </c>
      <c r="G630" s="3">
        <v>947.8</v>
      </c>
    </row>
    <row r="631" spans="1:7" x14ac:dyDescent="0.2">
      <c r="A631" s="3">
        <v>2014</v>
      </c>
      <c r="B631" s="3">
        <v>403</v>
      </c>
      <c r="C631" s="3" t="str">
        <f>VLOOKUP(B631, '[1]DAR area codes'!A:B,2,FALSE)</f>
        <v>oahu</v>
      </c>
      <c r="D631" s="4">
        <v>1003.6</v>
      </c>
      <c r="E631" s="6">
        <v>6475.16</v>
      </c>
      <c r="F631" s="3">
        <v>158607.03</v>
      </c>
      <c r="G631" s="3">
        <v>26873.82</v>
      </c>
    </row>
    <row r="632" spans="1:7" x14ac:dyDescent="0.2">
      <c r="A632" s="3">
        <v>2014</v>
      </c>
      <c r="B632" s="3">
        <v>404</v>
      </c>
      <c r="C632" s="3" t="str">
        <f>VLOOKUP(B632, '[1]DAR area codes'!A:B,2,FALSE)</f>
        <v>oahu</v>
      </c>
      <c r="D632" s="4">
        <v>977</v>
      </c>
      <c r="E632" s="6">
        <v>2517.25</v>
      </c>
      <c r="F632" s="3">
        <v>50843.880000000005</v>
      </c>
      <c r="G632" s="3">
        <v>2190</v>
      </c>
    </row>
    <row r="633" spans="1:7" x14ac:dyDescent="0.2">
      <c r="A633" s="3">
        <v>2014</v>
      </c>
      <c r="B633" s="3">
        <v>405</v>
      </c>
      <c r="C633" s="3" t="str">
        <f>VLOOKUP(B633, '[1]DAR area codes'!A:B,2,FALSE)</f>
        <v>oahu</v>
      </c>
      <c r="D633" s="4">
        <v>5199</v>
      </c>
      <c r="E633" s="6">
        <v>3238.83</v>
      </c>
      <c r="F633" s="3">
        <v>22695.329999999998</v>
      </c>
      <c r="G633" s="3">
        <v>353</v>
      </c>
    </row>
    <row r="634" spans="1:7" x14ac:dyDescent="0.2">
      <c r="A634" s="3">
        <v>2014</v>
      </c>
      <c r="B634" s="3">
        <v>406</v>
      </c>
      <c r="C634" s="3" t="str">
        <f>VLOOKUP(B634, '[1]DAR area codes'!A:B,2,FALSE)</f>
        <v>oahu</v>
      </c>
      <c r="D634" s="4">
        <v>326</v>
      </c>
      <c r="E634" s="6">
        <v>998.04</v>
      </c>
      <c r="F634" s="3">
        <v>18269.080000000002</v>
      </c>
      <c r="G634" s="3">
        <v>1108</v>
      </c>
    </row>
    <row r="635" spans="1:7" x14ac:dyDescent="0.2">
      <c r="A635" s="3">
        <v>2014</v>
      </c>
      <c r="B635" s="3">
        <v>407</v>
      </c>
      <c r="C635" s="3" t="str">
        <f>VLOOKUP(B635, '[1]DAR area codes'!A:B,2,FALSE)</f>
        <v>oahu</v>
      </c>
      <c r="D635" s="4">
        <v>2896</v>
      </c>
      <c r="E635" s="6">
        <v>1527.45</v>
      </c>
      <c r="F635" s="3">
        <v>58971.639999999992</v>
      </c>
      <c r="G635" s="3">
        <v>97.5</v>
      </c>
    </row>
    <row r="636" spans="1:7" x14ac:dyDescent="0.2">
      <c r="A636" s="3">
        <v>2014</v>
      </c>
      <c r="B636" s="3">
        <v>408</v>
      </c>
      <c r="C636" s="3" t="str">
        <f>VLOOKUP(B636, '[1]DAR area codes'!A:B,2,FALSE)</f>
        <v>oahu</v>
      </c>
      <c r="E636" s="6">
        <v>472.1</v>
      </c>
      <c r="F636" s="3">
        <v>18955.5</v>
      </c>
      <c r="G636" s="3">
        <v>542</v>
      </c>
    </row>
    <row r="637" spans="1:7" x14ac:dyDescent="0.2">
      <c r="A637" s="3">
        <v>2014</v>
      </c>
      <c r="B637" s="3">
        <v>409</v>
      </c>
      <c r="C637" s="3" t="str">
        <f>VLOOKUP(B637, '[1]DAR area codes'!A:B,2,FALSE)</f>
        <v>oahu</v>
      </c>
      <c r="D637" s="4">
        <v>734</v>
      </c>
      <c r="E637" s="6">
        <v>1181</v>
      </c>
      <c r="F637" s="3">
        <v>23334.28</v>
      </c>
      <c r="G637" s="3">
        <v>1730.5</v>
      </c>
    </row>
    <row r="638" spans="1:7" x14ac:dyDescent="0.2">
      <c r="A638" s="3">
        <v>2014</v>
      </c>
      <c r="B638" s="3">
        <v>420</v>
      </c>
      <c r="C638" s="3" t="str">
        <f>VLOOKUP(B638, '[1]DAR area codes'!A:B,2,FALSE)</f>
        <v>oahu</v>
      </c>
      <c r="D638" s="4">
        <v>47</v>
      </c>
      <c r="E638" s="6"/>
      <c r="F638" s="3">
        <v>0</v>
      </c>
      <c r="G638" s="3">
        <v>19640.5</v>
      </c>
    </row>
    <row r="639" spans="1:7" x14ac:dyDescent="0.2">
      <c r="A639" s="3">
        <v>2014</v>
      </c>
      <c r="B639" s="3">
        <v>421</v>
      </c>
      <c r="C639" s="3" t="str">
        <f>VLOOKUP(B639, '[1]DAR area codes'!A:B,2,FALSE)</f>
        <v>oahu</v>
      </c>
      <c r="D639" s="4">
        <v>57</v>
      </c>
      <c r="E639" s="6"/>
      <c r="F639" s="3">
        <v>0</v>
      </c>
      <c r="G639" s="3">
        <v>89968</v>
      </c>
    </row>
    <row r="640" spans="1:7" x14ac:dyDescent="0.2">
      <c r="A640" s="3">
        <v>2014</v>
      </c>
      <c r="B640" s="3">
        <v>422</v>
      </c>
      <c r="C640" s="3" t="str">
        <f>VLOOKUP(B640, '[1]DAR area codes'!A:B,2,FALSE)</f>
        <v>oahu</v>
      </c>
      <c r="E640" s="6"/>
      <c r="F640" s="3">
        <v>2090</v>
      </c>
      <c r="G640" s="3">
        <v>107350.7</v>
      </c>
    </row>
    <row r="641" spans="1:7" x14ac:dyDescent="0.2">
      <c r="A641" s="3">
        <v>2014</v>
      </c>
      <c r="B641" s="3">
        <v>423</v>
      </c>
      <c r="C641" s="3" t="str">
        <f>VLOOKUP(B641, '[1]DAR area codes'!A:B,2,FALSE)</f>
        <v>oahu</v>
      </c>
      <c r="D641" s="4">
        <v>2728</v>
      </c>
      <c r="E641" s="6">
        <v>696.5</v>
      </c>
      <c r="F641" s="3">
        <v>2760.08</v>
      </c>
      <c r="G641" s="3">
        <v>210261.45</v>
      </c>
    </row>
    <row r="642" spans="1:7" x14ac:dyDescent="0.2">
      <c r="A642" s="3">
        <v>2014</v>
      </c>
      <c r="B642" s="3">
        <v>424</v>
      </c>
      <c r="C642" s="3" t="str">
        <f>VLOOKUP(B642, '[1]DAR area codes'!A:B,2,FALSE)</f>
        <v>oahu</v>
      </c>
      <c r="E642" s="6"/>
      <c r="F642" s="3">
        <v>830.29</v>
      </c>
      <c r="G642" s="3">
        <v>31251.57</v>
      </c>
    </row>
    <row r="643" spans="1:7" x14ac:dyDescent="0.2">
      <c r="A643" s="3">
        <v>2014</v>
      </c>
      <c r="B643" s="3">
        <v>425</v>
      </c>
      <c r="C643" s="3" t="str">
        <f>VLOOKUP(B643, '[1]DAR area codes'!A:B,2,FALSE)</f>
        <v>oahu</v>
      </c>
      <c r="D643" s="4">
        <v>617.29999999999995</v>
      </c>
      <c r="E643" s="6"/>
      <c r="F643" s="3">
        <v>104.5</v>
      </c>
      <c r="G643" s="3">
        <v>141514.5</v>
      </c>
    </row>
    <row r="644" spans="1:7" x14ac:dyDescent="0.2">
      <c r="A644" s="3">
        <v>2014</v>
      </c>
      <c r="B644" s="3">
        <v>426</v>
      </c>
      <c r="C644" s="3" t="str">
        <f>VLOOKUP(B644, '[1]DAR area codes'!A:B,2,FALSE)</f>
        <v>oahu</v>
      </c>
      <c r="D644" s="4">
        <v>1342.5</v>
      </c>
      <c r="E644" s="6"/>
      <c r="F644" s="3">
        <v>0</v>
      </c>
      <c r="G644" s="3">
        <v>26677.760000000002</v>
      </c>
    </row>
    <row r="645" spans="1:7" x14ac:dyDescent="0.2">
      <c r="A645" s="3">
        <v>2014</v>
      </c>
      <c r="B645" s="3">
        <v>427</v>
      </c>
      <c r="C645" s="3" t="str">
        <f>VLOOKUP(B645, '[1]DAR area codes'!A:B,2,FALSE)</f>
        <v>oahu</v>
      </c>
      <c r="D645" s="4">
        <v>1379</v>
      </c>
      <c r="E645" s="6">
        <v>439.8</v>
      </c>
      <c r="F645" s="3">
        <v>59.62</v>
      </c>
      <c r="G645" s="3">
        <v>94285.84</v>
      </c>
    </row>
    <row r="646" spans="1:7" x14ac:dyDescent="0.2">
      <c r="A646" s="3">
        <v>2014</v>
      </c>
      <c r="B646" s="3">
        <v>428</v>
      </c>
      <c r="C646" s="3" t="str">
        <f>VLOOKUP(B646, '[1]DAR area codes'!A:B,2,FALSE)</f>
        <v>oahu</v>
      </c>
      <c r="E646" s="6"/>
      <c r="F646" s="3">
        <v>0</v>
      </c>
      <c r="G646" s="3">
        <v>38843</v>
      </c>
    </row>
    <row r="647" spans="1:7" x14ac:dyDescent="0.2">
      <c r="A647" s="3">
        <v>2014</v>
      </c>
      <c r="B647" s="3">
        <v>429</v>
      </c>
      <c r="C647" s="3" t="str">
        <f>VLOOKUP(B647, '[1]DAR area codes'!A:B,2,FALSE)</f>
        <v>oahu</v>
      </c>
      <c r="D647" s="4">
        <v>5359.2</v>
      </c>
      <c r="E647" s="6">
        <v>1092</v>
      </c>
      <c r="F647" s="3">
        <v>515</v>
      </c>
      <c r="G647" s="3">
        <v>7176.5</v>
      </c>
    </row>
    <row r="648" spans="1:7" x14ac:dyDescent="0.2">
      <c r="A648" s="3">
        <v>2014</v>
      </c>
      <c r="B648" s="3">
        <v>500</v>
      </c>
      <c r="C648" s="3" t="str">
        <f>VLOOKUP(B648, '[1]DAR area codes'!A:B,2,FALSE)</f>
        <v>kauai</v>
      </c>
      <c r="D648" s="4">
        <v>2272.5</v>
      </c>
      <c r="E648" s="6">
        <v>5627.7</v>
      </c>
      <c r="F648" s="3">
        <v>19194.8</v>
      </c>
      <c r="G648" s="3">
        <v>10214.299999999999</v>
      </c>
    </row>
    <row r="649" spans="1:7" x14ac:dyDescent="0.2">
      <c r="A649" s="3">
        <v>2014</v>
      </c>
      <c r="B649" s="3">
        <v>501</v>
      </c>
      <c r="C649" s="3" t="str">
        <f>VLOOKUP(B649, '[1]DAR area codes'!A:B,2,FALSE)</f>
        <v>kauai</v>
      </c>
      <c r="D649" s="4">
        <v>696</v>
      </c>
      <c r="E649" s="6">
        <v>1304</v>
      </c>
      <c r="F649" s="3">
        <v>19022.599999999999</v>
      </c>
      <c r="G649" s="3">
        <v>4406</v>
      </c>
    </row>
    <row r="650" spans="1:7" x14ac:dyDescent="0.2">
      <c r="A650" s="3">
        <v>2014</v>
      </c>
      <c r="B650" s="3">
        <v>502</v>
      </c>
      <c r="C650" s="3" t="str">
        <f>VLOOKUP(B650, '[1]DAR area codes'!A:B,2,FALSE)</f>
        <v>kauai</v>
      </c>
      <c r="E650" s="6"/>
      <c r="F650" s="3">
        <v>0</v>
      </c>
      <c r="G650" s="3">
        <v>2014</v>
      </c>
    </row>
    <row r="651" spans="1:7" x14ac:dyDescent="0.2">
      <c r="A651" s="3">
        <v>2014</v>
      </c>
      <c r="B651" s="3">
        <v>503</v>
      </c>
      <c r="C651" s="3" t="str">
        <f>VLOOKUP(B651, '[1]DAR area codes'!A:B,2,FALSE)</f>
        <v>kauai</v>
      </c>
      <c r="D651" s="4">
        <v>282</v>
      </c>
      <c r="E651" s="6"/>
      <c r="F651" s="3">
        <v>1081</v>
      </c>
      <c r="G651" s="3">
        <v>2618</v>
      </c>
    </row>
    <row r="652" spans="1:7" x14ac:dyDescent="0.2">
      <c r="A652" s="3">
        <v>2014</v>
      </c>
      <c r="B652" s="3">
        <v>504</v>
      </c>
      <c r="C652" s="3" t="str">
        <f>VLOOKUP(B652, '[1]DAR area codes'!A:B,2,FALSE)</f>
        <v>kauai</v>
      </c>
      <c r="D652" s="4">
        <v>1397.22</v>
      </c>
      <c r="E652" s="6">
        <v>1800.55</v>
      </c>
      <c r="F652" s="3">
        <v>11334.1</v>
      </c>
      <c r="G652" s="3">
        <v>14658.5</v>
      </c>
    </row>
    <row r="653" spans="1:7" x14ac:dyDescent="0.2">
      <c r="A653" s="3">
        <v>2014</v>
      </c>
      <c r="B653" s="3">
        <v>505</v>
      </c>
      <c r="C653" s="3" t="str">
        <f>VLOOKUP(B653, '[1]DAR area codes'!A:B,2,FALSE)</f>
        <v>kauai</v>
      </c>
      <c r="D653" s="4">
        <v>2632.5</v>
      </c>
      <c r="E653" s="6">
        <v>6940.3</v>
      </c>
      <c r="F653" s="3">
        <v>4226</v>
      </c>
      <c r="G653" s="3">
        <v>6771</v>
      </c>
    </row>
    <row r="654" spans="1:7" x14ac:dyDescent="0.2">
      <c r="A654" s="3">
        <v>2014</v>
      </c>
      <c r="B654" s="3">
        <v>506</v>
      </c>
      <c r="C654" s="3" t="str">
        <f>VLOOKUP(B654, '[1]DAR area codes'!A:B,2,FALSE)</f>
        <v>kauai</v>
      </c>
      <c r="D654" s="4">
        <v>4535.8999999999996</v>
      </c>
      <c r="E654" s="6">
        <v>7524</v>
      </c>
      <c r="F654" s="3">
        <v>2560</v>
      </c>
      <c r="G654" s="3">
        <v>3149</v>
      </c>
    </row>
    <row r="655" spans="1:7" x14ac:dyDescent="0.2">
      <c r="A655" s="3">
        <v>2014</v>
      </c>
      <c r="B655" s="3">
        <v>507</v>
      </c>
      <c r="C655" s="3" t="str">
        <f>VLOOKUP(B655, '[1]DAR area codes'!A:B,2,FALSE)</f>
        <v>kauai</v>
      </c>
      <c r="E655" s="6"/>
      <c r="F655" s="3">
        <v>0</v>
      </c>
      <c r="G655" s="3">
        <v>0</v>
      </c>
    </row>
    <row r="656" spans="1:7" x14ac:dyDescent="0.2">
      <c r="A656" s="3">
        <v>2014</v>
      </c>
      <c r="B656" s="3">
        <v>508</v>
      </c>
      <c r="C656" s="3" t="str">
        <f>VLOOKUP(B656, '[1]DAR area codes'!A:B,2,FALSE)</f>
        <v>kauai</v>
      </c>
      <c r="E656" s="6">
        <v>3963.5</v>
      </c>
      <c r="F656" s="3">
        <v>0</v>
      </c>
      <c r="G656" s="3">
        <v>24111</v>
      </c>
    </row>
    <row r="657" spans="1:7" x14ac:dyDescent="0.2">
      <c r="A657" s="3">
        <v>2014</v>
      </c>
      <c r="B657" s="3">
        <v>520</v>
      </c>
      <c r="C657" s="3" t="str">
        <f>VLOOKUP(B657, '[1]DAR area codes'!A:B,2,FALSE)</f>
        <v>kauai</v>
      </c>
      <c r="D657" s="4">
        <v>390</v>
      </c>
      <c r="E657" s="6">
        <v>5081.6000000000004</v>
      </c>
      <c r="F657" s="3">
        <v>5969.3</v>
      </c>
      <c r="G657" s="3">
        <v>247809.7</v>
      </c>
    </row>
    <row r="658" spans="1:7" x14ac:dyDescent="0.2">
      <c r="A658" s="3">
        <v>2014</v>
      </c>
      <c r="B658" s="3">
        <v>521</v>
      </c>
      <c r="C658" s="3" t="str">
        <f>VLOOKUP(B658, '[1]DAR area codes'!A:B,2,FALSE)</f>
        <v>kauai</v>
      </c>
      <c r="D658" s="4">
        <v>816</v>
      </c>
      <c r="E658" s="6">
        <v>458.92</v>
      </c>
      <c r="F658" s="3">
        <v>6729</v>
      </c>
      <c r="G658" s="3">
        <v>17714.5</v>
      </c>
    </row>
    <row r="659" spans="1:7" x14ac:dyDescent="0.2">
      <c r="A659" s="3">
        <v>2014</v>
      </c>
      <c r="B659" s="3">
        <v>522</v>
      </c>
      <c r="C659" s="3" t="str">
        <f>VLOOKUP(B659, '[1]DAR area codes'!A:B,2,FALSE)</f>
        <v>kauai</v>
      </c>
      <c r="E659" s="6"/>
      <c r="F659" s="3">
        <v>0</v>
      </c>
      <c r="G659" s="3">
        <v>6092.8</v>
      </c>
    </row>
    <row r="660" spans="1:7" x14ac:dyDescent="0.2">
      <c r="A660" s="3">
        <v>2014</v>
      </c>
      <c r="B660" s="3">
        <v>523</v>
      </c>
      <c r="C660" s="3" t="str">
        <f>VLOOKUP(B660, '[1]DAR area codes'!A:B,2,FALSE)</f>
        <v>kauai</v>
      </c>
      <c r="D660" s="4">
        <v>236.5</v>
      </c>
      <c r="E660" s="6"/>
      <c r="F660" s="3">
        <v>0</v>
      </c>
      <c r="G660" s="3">
        <v>36788.9</v>
      </c>
    </row>
    <row r="661" spans="1:7" x14ac:dyDescent="0.2">
      <c r="A661" s="3">
        <v>2014</v>
      </c>
      <c r="B661" s="3">
        <v>524</v>
      </c>
      <c r="C661" s="3" t="str">
        <f>VLOOKUP(B661, '[1]DAR area codes'!A:B,2,FALSE)</f>
        <v>kauai</v>
      </c>
      <c r="D661" s="4">
        <v>1007.29</v>
      </c>
      <c r="E661" s="6">
        <v>4842.3999999999996</v>
      </c>
      <c r="F661" s="3">
        <v>4727.3</v>
      </c>
      <c r="G661" s="3">
        <v>184508.97999999998</v>
      </c>
    </row>
    <row r="662" spans="1:7" x14ac:dyDescent="0.2">
      <c r="A662" s="3">
        <v>2014</v>
      </c>
      <c r="B662" s="3">
        <v>525</v>
      </c>
      <c r="C662" s="3" t="str">
        <f>VLOOKUP(B662, '[1]DAR area codes'!A:B,2,FALSE)</f>
        <v>kauai</v>
      </c>
      <c r="D662" s="4">
        <v>1855.6</v>
      </c>
      <c r="E662" s="6">
        <v>1666</v>
      </c>
      <c r="F662" s="3">
        <v>0</v>
      </c>
      <c r="G662" s="3">
        <v>9548.2999999999993</v>
      </c>
    </row>
    <row r="663" spans="1:7" x14ac:dyDescent="0.2">
      <c r="A663" s="3">
        <v>2014</v>
      </c>
      <c r="B663" s="3">
        <v>526</v>
      </c>
      <c r="C663" s="3" t="str">
        <f>VLOOKUP(B663, '[1]DAR area codes'!A:B,2,FALSE)</f>
        <v>kauai</v>
      </c>
      <c r="D663" s="4">
        <v>1501</v>
      </c>
      <c r="E663" s="6"/>
      <c r="F663" s="3">
        <v>0</v>
      </c>
      <c r="G663" s="3">
        <v>958</v>
      </c>
    </row>
    <row r="664" spans="1:7" x14ac:dyDescent="0.2">
      <c r="A664" s="3">
        <v>2014</v>
      </c>
      <c r="B664" s="3">
        <v>527</v>
      </c>
      <c r="C664" s="3" t="str">
        <f>VLOOKUP(B664, '[1]DAR area codes'!A:B,2,FALSE)</f>
        <v>kauai</v>
      </c>
      <c r="E664" s="6"/>
      <c r="F664" s="3">
        <v>0</v>
      </c>
      <c r="G664" s="3">
        <v>1306.7</v>
      </c>
    </row>
    <row r="665" spans="1:7" x14ac:dyDescent="0.2">
      <c r="A665" s="3">
        <v>2014</v>
      </c>
      <c r="B665" s="3">
        <v>528</v>
      </c>
      <c r="C665" s="3" t="str">
        <f>VLOOKUP(B665, '[1]DAR area codes'!A:B,2,FALSE)</f>
        <v>kauai</v>
      </c>
      <c r="E665" s="6"/>
      <c r="F665" s="3">
        <v>0</v>
      </c>
      <c r="G665" s="3">
        <v>21168</v>
      </c>
    </row>
    <row r="666" spans="1:7" x14ac:dyDescent="0.2">
      <c r="A666" s="3">
        <v>2013</v>
      </c>
      <c r="B666" s="3">
        <v>100</v>
      </c>
      <c r="C666" s="3" t="str">
        <f>VLOOKUP(B666, '[1]DAR area codes'!A:B,2,FALSE)</f>
        <v>hawaii</v>
      </c>
      <c r="D666" s="4">
        <v>8908.7999999999993</v>
      </c>
      <c r="E666" s="6">
        <v>929.7</v>
      </c>
      <c r="F666" s="3">
        <v>5373.4299999999994</v>
      </c>
      <c r="G666" s="3">
        <v>63820.7</v>
      </c>
    </row>
    <row r="667" spans="1:7" x14ac:dyDescent="0.2">
      <c r="A667" s="3">
        <v>2013</v>
      </c>
      <c r="B667" s="3">
        <v>101</v>
      </c>
      <c r="C667" s="3" t="str">
        <f>VLOOKUP(B667, '[1]DAR area codes'!A:B,2,FALSE)</f>
        <v>hawaii</v>
      </c>
      <c r="D667" s="4">
        <v>5201.6000000000004</v>
      </c>
      <c r="E667" s="6">
        <v>2722.43</v>
      </c>
      <c r="F667" s="3">
        <v>124212.5</v>
      </c>
      <c r="G667" s="3">
        <v>110843.07</v>
      </c>
    </row>
    <row r="668" spans="1:7" x14ac:dyDescent="0.2">
      <c r="A668" s="3">
        <v>2013</v>
      </c>
      <c r="B668" s="3">
        <v>102</v>
      </c>
      <c r="C668" s="3" t="str">
        <f>VLOOKUP(B668, '[1]DAR area codes'!A:B,2,FALSE)</f>
        <v>hawaii</v>
      </c>
      <c r="D668" s="4">
        <v>2882.7</v>
      </c>
      <c r="E668" s="6">
        <v>2838.4</v>
      </c>
      <c r="F668" s="3">
        <v>10182.85</v>
      </c>
      <c r="G668" s="3">
        <v>23086.3</v>
      </c>
    </row>
    <row r="669" spans="1:7" x14ac:dyDescent="0.2">
      <c r="A669" s="3">
        <v>2013</v>
      </c>
      <c r="B669" s="3">
        <v>103</v>
      </c>
      <c r="C669" s="3" t="str">
        <f>VLOOKUP(B669, '[1]DAR area codes'!A:B,2,FALSE)</f>
        <v>hawaii</v>
      </c>
      <c r="D669" s="4">
        <v>2649.8</v>
      </c>
      <c r="E669" s="6">
        <v>453.8</v>
      </c>
      <c r="F669" s="3">
        <v>3933.8</v>
      </c>
      <c r="G669" s="3">
        <v>4055.5</v>
      </c>
    </row>
    <row r="670" spans="1:7" x14ac:dyDescent="0.2">
      <c r="A670" s="3">
        <v>2013</v>
      </c>
      <c r="B670" s="3">
        <v>104</v>
      </c>
      <c r="C670" s="3" t="str">
        <f>VLOOKUP(B670, '[1]DAR area codes'!A:B,2,FALSE)</f>
        <v>hawaii</v>
      </c>
      <c r="E670" s="6"/>
      <c r="F670" s="3">
        <v>2533.4900000000002</v>
      </c>
      <c r="G670" s="3">
        <v>7777.6</v>
      </c>
    </row>
    <row r="671" spans="1:7" x14ac:dyDescent="0.2">
      <c r="A671" s="3">
        <v>2013</v>
      </c>
      <c r="B671" s="3">
        <v>105</v>
      </c>
      <c r="C671" s="3" t="str">
        <f>VLOOKUP(B671, '[1]DAR area codes'!A:B,2,FALSE)</f>
        <v>hawaii</v>
      </c>
      <c r="D671" s="4">
        <v>3812.4</v>
      </c>
      <c r="E671" s="6">
        <v>437</v>
      </c>
      <c r="F671" s="3">
        <v>9739.5999999999985</v>
      </c>
      <c r="G671" s="3">
        <v>26234</v>
      </c>
    </row>
    <row r="672" spans="1:7" x14ac:dyDescent="0.2">
      <c r="A672" s="3">
        <v>2013</v>
      </c>
      <c r="B672" s="3">
        <v>106</v>
      </c>
      <c r="C672" s="3" t="str">
        <f>VLOOKUP(B672, '[1]DAR area codes'!A:B,2,FALSE)</f>
        <v>hawaii</v>
      </c>
      <c r="D672" s="4">
        <v>4102.7</v>
      </c>
      <c r="E672" s="6">
        <v>1266.5999999999999</v>
      </c>
      <c r="F672" s="3">
        <v>17469.27</v>
      </c>
      <c r="G672" s="3">
        <v>78264.11</v>
      </c>
    </row>
    <row r="673" spans="1:7" x14ac:dyDescent="0.2">
      <c r="A673" s="3">
        <v>2013</v>
      </c>
      <c r="B673" s="3">
        <v>107</v>
      </c>
      <c r="C673" s="3" t="str">
        <f>VLOOKUP(B673, '[1]DAR area codes'!A:B,2,FALSE)</f>
        <v>hawaii</v>
      </c>
      <c r="D673" s="4">
        <v>2701.2</v>
      </c>
      <c r="E673" s="6">
        <v>339.6</v>
      </c>
      <c r="F673" s="3">
        <v>5503.92</v>
      </c>
      <c r="G673" s="3">
        <v>24889.100000000002</v>
      </c>
    </row>
    <row r="674" spans="1:7" x14ac:dyDescent="0.2">
      <c r="A674" s="3">
        <v>2013</v>
      </c>
      <c r="B674" s="3">
        <v>108</v>
      </c>
      <c r="C674" s="3" t="str">
        <f>VLOOKUP(B674, '[1]DAR area codes'!A:B,2,FALSE)</f>
        <v>hawaii</v>
      </c>
      <c r="D674" s="4">
        <v>3948.7</v>
      </c>
      <c r="E674" s="6">
        <v>890.5</v>
      </c>
      <c r="F674" s="3">
        <v>2309.1999999999998</v>
      </c>
      <c r="G674" s="3">
        <v>36078.71</v>
      </c>
    </row>
    <row r="675" spans="1:7" x14ac:dyDescent="0.2">
      <c r="A675" s="3">
        <v>2013</v>
      </c>
      <c r="B675" s="3">
        <v>120</v>
      </c>
      <c r="C675" s="3" t="str">
        <f>VLOOKUP(B675, '[1]DAR area codes'!A:B,2,FALSE)</f>
        <v>hawaii</v>
      </c>
      <c r="D675" s="4">
        <v>9074.77</v>
      </c>
      <c r="E675" s="6">
        <v>1134.9000000000001</v>
      </c>
      <c r="F675" s="3">
        <v>1152</v>
      </c>
      <c r="G675" s="3">
        <v>71947.8</v>
      </c>
    </row>
    <row r="676" spans="1:7" x14ac:dyDescent="0.2">
      <c r="A676" s="3">
        <v>2013</v>
      </c>
      <c r="B676" s="3">
        <v>121</v>
      </c>
      <c r="C676" s="3" t="str">
        <f>VLOOKUP(B676, '[1]DAR area codes'!A:B,2,FALSE)</f>
        <v>hawaii</v>
      </c>
      <c r="D676" s="4">
        <v>10106.200000000001</v>
      </c>
      <c r="E676" s="6">
        <v>3124.5</v>
      </c>
      <c r="F676" s="3">
        <v>19501.82</v>
      </c>
      <c r="G676" s="3">
        <v>878555.62999999989</v>
      </c>
    </row>
    <row r="677" spans="1:7" x14ac:dyDescent="0.2">
      <c r="A677" s="3">
        <v>2013</v>
      </c>
      <c r="B677" s="3">
        <v>122</v>
      </c>
      <c r="C677" s="3" t="str">
        <f>VLOOKUP(B677, '[1]DAR area codes'!A:B,2,FALSE)</f>
        <v>hawaii</v>
      </c>
      <c r="D677" s="4">
        <v>11177.6</v>
      </c>
      <c r="E677" s="6">
        <v>3167.8</v>
      </c>
      <c r="F677" s="3">
        <v>1816</v>
      </c>
      <c r="G677" s="3">
        <v>109804.29999999999</v>
      </c>
    </row>
    <row r="678" spans="1:7" x14ac:dyDescent="0.2">
      <c r="A678" s="3">
        <v>2013</v>
      </c>
      <c r="B678" s="3">
        <v>123</v>
      </c>
      <c r="C678" s="3" t="str">
        <f>VLOOKUP(B678, '[1]DAR area codes'!A:B,2,FALSE)</f>
        <v>hawaii</v>
      </c>
      <c r="E678" s="6"/>
      <c r="F678" s="3">
        <v>0</v>
      </c>
      <c r="G678" s="3">
        <v>2747</v>
      </c>
    </row>
    <row r="679" spans="1:7" x14ac:dyDescent="0.2">
      <c r="A679" s="3">
        <v>2013</v>
      </c>
      <c r="B679" s="3">
        <v>124</v>
      </c>
      <c r="C679" s="3" t="str">
        <f>VLOOKUP(B679, '[1]DAR area codes'!A:B,2,FALSE)</f>
        <v>hawaii</v>
      </c>
      <c r="E679" s="6"/>
      <c r="F679" s="3">
        <v>0</v>
      </c>
      <c r="G679" s="3">
        <v>32543.599999999999</v>
      </c>
    </row>
    <row r="680" spans="1:7" x14ac:dyDescent="0.2">
      <c r="A680" s="3">
        <v>2013</v>
      </c>
      <c r="B680" s="3">
        <v>125</v>
      </c>
      <c r="C680" s="3" t="str">
        <f>VLOOKUP(B680, '[1]DAR area codes'!A:B,2,FALSE)</f>
        <v>hawaii</v>
      </c>
      <c r="D680" s="4">
        <v>2590.5</v>
      </c>
      <c r="E680" s="6">
        <v>286.5</v>
      </c>
      <c r="F680" s="3">
        <v>1244.8</v>
      </c>
      <c r="G680" s="3">
        <v>305164.09999999998</v>
      </c>
    </row>
    <row r="681" spans="1:7" x14ac:dyDescent="0.2">
      <c r="A681" s="3">
        <v>2013</v>
      </c>
      <c r="B681" s="3">
        <v>126</v>
      </c>
      <c r="C681" s="3" t="str">
        <f>VLOOKUP(B681, '[1]DAR area codes'!A:B,2,FALSE)</f>
        <v>hawaii</v>
      </c>
      <c r="D681" s="4">
        <v>1039.3</v>
      </c>
      <c r="E681" s="6">
        <v>380.25</v>
      </c>
      <c r="F681" s="3">
        <v>2439.4</v>
      </c>
      <c r="G681" s="3">
        <v>349838.55000000005</v>
      </c>
    </row>
    <row r="682" spans="1:7" x14ac:dyDescent="0.2">
      <c r="A682" s="3">
        <v>2013</v>
      </c>
      <c r="B682" s="3">
        <v>127</v>
      </c>
      <c r="C682" s="3" t="str">
        <f>VLOOKUP(B682, '[1]DAR area codes'!A:B,2,FALSE)</f>
        <v>hawaii</v>
      </c>
      <c r="D682" s="4">
        <v>1168.2</v>
      </c>
      <c r="E682" s="6"/>
      <c r="F682" s="3">
        <v>29</v>
      </c>
      <c r="G682" s="3">
        <v>131152.5</v>
      </c>
    </row>
    <row r="683" spans="1:7" x14ac:dyDescent="0.2">
      <c r="A683" s="3">
        <v>2013</v>
      </c>
      <c r="B683" s="3">
        <v>128</v>
      </c>
      <c r="C683" s="3" t="str">
        <f>VLOOKUP(B683, '[1]DAR area codes'!A:B,2,FALSE)</f>
        <v>hawaii</v>
      </c>
      <c r="D683" s="4">
        <v>1818.3</v>
      </c>
      <c r="E683" s="6">
        <v>462.8</v>
      </c>
      <c r="F683" s="3">
        <v>0</v>
      </c>
      <c r="G683" s="3">
        <v>58656.58</v>
      </c>
    </row>
    <row r="684" spans="1:7" x14ac:dyDescent="0.2">
      <c r="A684" s="3">
        <v>2013</v>
      </c>
      <c r="B684" s="3">
        <v>300</v>
      </c>
      <c r="C684" s="3" t="str">
        <f>VLOOKUP(B684, '[1]DAR area codes'!A:B,2,FALSE)</f>
        <v>maui</v>
      </c>
      <c r="E684" s="6">
        <v>2456.85</v>
      </c>
      <c r="F684" s="3">
        <v>62158.249999999993</v>
      </c>
      <c r="G684" s="3">
        <v>2924.8</v>
      </c>
    </row>
    <row r="685" spans="1:7" x14ac:dyDescent="0.2">
      <c r="A685" s="3">
        <v>2013</v>
      </c>
      <c r="B685" s="3">
        <v>301</v>
      </c>
      <c r="C685" s="3" t="str">
        <f>VLOOKUP(B685, '[1]DAR area codes'!A:B,2,FALSE)</f>
        <v>maui</v>
      </c>
      <c r="E685" s="6">
        <v>561.5</v>
      </c>
      <c r="F685" s="3">
        <v>1906.75</v>
      </c>
      <c r="G685" s="3">
        <v>124</v>
      </c>
    </row>
    <row r="686" spans="1:7" x14ac:dyDescent="0.2">
      <c r="A686" s="3">
        <v>2013</v>
      </c>
      <c r="B686" s="3">
        <v>302</v>
      </c>
      <c r="C686" s="3" t="str">
        <f>VLOOKUP(B686, '[1]DAR area codes'!A:B,2,FALSE)</f>
        <v>maui</v>
      </c>
      <c r="D686" s="4">
        <v>940.1</v>
      </c>
      <c r="E686" s="6">
        <v>634.15</v>
      </c>
      <c r="F686" s="3">
        <v>14468.150000000001</v>
      </c>
      <c r="G686" s="3">
        <v>3394.8</v>
      </c>
    </row>
    <row r="687" spans="1:7" x14ac:dyDescent="0.2">
      <c r="A687" s="3">
        <v>2013</v>
      </c>
      <c r="B687" s="3">
        <v>303</v>
      </c>
      <c r="C687" s="3" t="str">
        <f>VLOOKUP(B687, '[1]DAR area codes'!A:B,2,FALSE)</f>
        <v>maui</v>
      </c>
      <c r="D687" s="4">
        <v>194</v>
      </c>
      <c r="E687" s="6"/>
      <c r="F687" s="3">
        <v>2304.35</v>
      </c>
      <c r="G687" s="3">
        <v>975.2</v>
      </c>
    </row>
    <row r="688" spans="1:7" x14ac:dyDescent="0.2">
      <c r="A688" s="3">
        <v>2013</v>
      </c>
      <c r="B688" s="3">
        <v>304</v>
      </c>
      <c r="C688" s="3" t="str">
        <f>VLOOKUP(B688, '[1]DAR area codes'!A:B,2,FALSE)</f>
        <v>maui</v>
      </c>
      <c r="D688" s="4">
        <v>5544.1</v>
      </c>
      <c r="E688" s="6">
        <v>3290.5</v>
      </c>
      <c r="F688" s="3">
        <v>218</v>
      </c>
      <c r="G688" s="3">
        <v>3017.9</v>
      </c>
    </row>
    <row r="689" spans="1:7" x14ac:dyDescent="0.2">
      <c r="A689" s="3">
        <v>2013</v>
      </c>
      <c r="B689" s="3">
        <v>305</v>
      </c>
      <c r="C689" s="3" t="str">
        <f>VLOOKUP(B689, '[1]DAR area codes'!A:B,2,FALSE)</f>
        <v>maui</v>
      </c>
      <c r="D689" s="4">
        <v>8572.2000000000007</v>
      </c>
      <c r="E689" s="6">
        <v>1948.6</v>
      </c>
      <c r="F689" s="3">
        <v>1759</v>
      </c>
      <c r="G689" s="3">
        <v>3459.3</v>
      </c>
    </row>
    <row r="690" spans="1:7" x14ac:dyDescent="0.2">
      <c r="A690" s="3">
        <v>2013</v>
      </c>
      <c r="B690" s="3">
        <v>306</v>
      </c>
      <c r="C690" s="3" t="str">
        <f>VLOOKUP(B690, '[1]DAR area codes'!A:B,2,FALSE)</f>
        <v>maui</v>
      </c>
      <c r="E690" s="6"/>
      <c r="F690" s="3">
        <v>0</v>
      </c>
      <c r="G690" s="3">
        <v>3048</v>
      </c>
    </row>
    <row r="691" spans="1:7" x14ac:dyDescent="0.2">
      <c r="A691" s="3">
        <v>2013</v>
      </c>
      <c r="B691" s="3">
        <v>307</v>
      </c>
      <c r="C691" s="3" t="str">
        <f>VLOOKUP(B691, '[1]DAR area codes'!A:B,2,FALSE)</f>
        <v>maui</v>
      </c>
      <c r="E691" s="6"/>
      <c r="F691" s="3">
        <v>0</v>
      </c>
      <c r="G691" s="3">
        <v>187</v>
      </c>
    </row>
    <row r="692" spans="1:7" x14ac:dyDescent="0.2">
      <c r="A692" s="3">
        <v>2013</v>
      </c>
      <c r="B692" s="3">
        <v>308</v>
      </c>
      <c r="C692" s="3" t="str">
        <f>VLOOKUP(B692, '[1]DAR area codes'!A:B,2,FALSE)</f>
        <v>maui</v>
      </c>
      <c r="D692" s="4">
        <v>2667.8</v>
      </c>
      <c r="E692" s="6">
        <v>4222.2</v>
      </c>
      <c r="F692" s="3">
        <v>587.09999999999991</v>
      </c>
      <c r="G692" s="3">
        <v>6027.7</v>
      </c>
    </row>
    <row r="693" spans="1:7" x14ac:dyDescent="0.2">
      <c r="A693" s="3">
        <v>2013</v>
      </c>
      <c r="B693" s="3">
        <v>309</v>
      </c>
      <c r="C693" s="3" t="str">
        <f>VLOOKUP(B693, '[1]DAR area codes'!A:B,2,FALSE)</f>
        <v>maui</v>
      </c>
      <c r="E693" s="6">
        <v>146</v>
      </c>
      <c r="F693" s="3">
        <v>389.5</v>
      </c>
      <c r="G693" s="3">
        <v>486</v>
      </c>
    </row>
    <row r="694" spans="1:7" x14ac:dyDescent="0.2">
      <c r="A694" s="3">
        <v>2013</v>
      </c>
      <c r="B694" s="3">
        <v>310</v>
      </c>
      <c r="C694" s="3" t="str">
        <f>VLOOKUP(B694, '[1]DAR area codes'!A:B,2,FALSE)</f>
        <v>maui</v>
      </c>
      <c r="E694" s="6"/>
      <c r="F694" s="3">
        <v>2909.5</v>
      </c>
      <c r="G694" s="3">
        <v>720</v>
      </c>
    </row>
    <row r="695" spans="1:7" x14ac:dyDescent="0.2">
      <c r="A695" s="3">
        <v>2013</v>
      </c>
      <c r="B695" s="3">
        <v>311</v>
      </c>
      <c r="C695" s="3" t="str">
        <f>VLOOKUP(B695, '[1]DAR area codes'!A:B,2,FALSE)</f>
        <v>maui</v>
      </c>
      <c r="D695" s="4">
        <v>255.7</v>
      </c>
      <c r="E695" s="6">
        <v>876</v>
      </c>
      <c r="F695" s="3">
        <v>2675.2200000000003</v>
      </c>
      <c r="G695" s="3">
        <v>883</v>
      </c>
    </row>
    <row r="696" spans="1:7" x14ac:dyDescent="0.2">
      <c r="A696" s="3">
        <v>2013</v>
      </c>
      <c r="B696" s="3">
        <v>312</v>
      </c>
      <c r="C696" s="3" t="str">
        <f>VLOOKUP(B696, '[1]DAR area codes'!A:B,2,FALSE)</f>
        <v>maui</v>
      </c>
      <c r="E696" s="6">
        <v>304.83999999999997</v>
      </c>
      <c r="F696" s="3">
        <v>5871.7300000000005</v>
      </c>
      <c r="G696" s="3">
        <v>350</v>
      </c>
    </row>
    <row r="697" spans="1:7" x14ac:dyDescent="0.2">
      <c r="A697" s="3">
        <v>2013</v>
      </c>
      <c r="B697" s="3">
        <v>313</v>
      </c>
      <c r="C697" s="3" t="str">
        <f>VLOOKUP(B697, '[1]DAR area codes'!A:B,2,FALSE)</f>
        <v>maui</v>
      </c>
      <c r="D697" s="4">
        <v>6100.5</v>
      </c>
      <c r="E697" s="6">
        <v>258.10000000000002</v>
      </c>
      <c r="F697" s="3">
        <v>0</v>
      </c>
      <c r="G697" s="3">
        <v>4116</v>
      </c>
    </row>
    <row r="698" spans="1:7" x14ac:dyDescent="0.2">
      <c r="A698" s="3">
        <v>2013</v>
      </c>
      <c r="B698" s="3">
        <v>314</v>
      </c>
      <c r="C698" s="3" t="str">
        <f>VLOOKUP(B698, '[1]DAR area codes'!A:B,2,FALSE)</f>
        <v>maui</v>
      </c>
      <c r="E698" s="6"/>
      <c r="F698" s="3">
        <v>0</v>
      </c>
      <c r="G698" s="3">
        <v>1980</v>
      </c>
    </row>
    <row r="699" spans="1:7" x14ac:dyDescent="0.2">
      <c r="A699" s="3">
        <v>2013</v>
      </c>
      <c r="B699" s="3">
        <v>320</v>
      </c>
      <c r="C699" s="3" t="str">
        <f>VLOOKUP(B699, '[1]DAR area codes'!A:B,2,FALSE)</f>
        <v>maui</v>
      </c>
      <c r="D699" s="4">
        <v>39630.53</v>
      </c>
      <c r="E699" s="6">
        <v>7317.94</v>
      </c>
      <c r="F699" s="3">
        <v>13164</v>
      </c>
      <c r="G699" s="3">
        <v>51006.5</v>
      </c>
    </row>
    <row r="700" spans="1:7" x14ac:dyDescent="0.2">
      <c r="A700" s="3">
        <v>2013</v>
      </c>
      <c r="B700" s="3">
        <v>321</v>
      </c>
      <c r="C700" s="3" t="str">
        <f>VLOOKUP(B700, '[1]DAR area codes'!A:B,2,FALSE)</f>
        <v>maui</v>
      </c>
      <c r="D700" s="4">
        <v>23838.3</v>
      </c>
      <c r="E700" s="6">
        <v>3877.4</v>
      </c>
      <c r="F700" s="3">
        <v>5194.8500000000004</v>
      </c>
      <c r="G700" s="3">
        <v>3522.9</v>
      </c>
    </row>
    <row r="701" spans="1:7" x14ac:dyDescent="0.2">
      <c r="A701" s="3">
        <v>2013</v>
      </c>
      <c r="B701" s="3">
        <v>322</v>
      </c>
      <c r="C701" s="3" t="str">
        <f>VLOOKUP(B701, '[1]DAR area codes'!A:B,2,FALSE)</f>
        <v>maui</v>
      </c>
      <c r="D701" s="4">
        <v>745</v>
      </c>
      <c r="E701" s="6"/>
      <c r="F701" s="3">
        <v>0</v>
      </c>
      <c r="G701" s="3">
        <v>35328.300000000003</v>
      </c>
    </row>
    <row r="702" spans="1:7" x14ac:dyDescent="0.2">
      <c r="A702" s="3">
        <v>2013</v>
      </c>
      <c r="B702" s="3">
        <v>323</v>
      </c>
      <c r="C702" s="3" t="str">
        <f>VLOOKUP(B702, '[1]DAR area codes'!A:B,2,FALSE)</f>
        <v>maui</v>
      </c>
      <c r="D702" s="4">
        <v>500</v>
      </c>
      <c r="E702" s="6"/>
      <c r="F702" s="3">
        <v>0</v>
      </c>
      <c r="G702" s="3">
        <v>89529.260000000009</v>
      </c>
    </row>
    <row r="703" spans="1:7" x14ac:dyDescent="0.2">
      <c r="A703" s="3">
        <v>2013</v>
      </c>
      <c r="B703" s="3">
        <v>324</v>
      </c>
      <c r="C703" s="3" t="str">
        <f>VLOOKUP(B703, '[1]DAR area codes'!A:B,2,FALSE)</f>
        <v>maui</v>
      </c>
      <c r="D703" s="4">
        <v>3404.2</v>
      </c>
      <c r="E703" s="6">
        <v>1736</v>
      </c>
      <c r="F703" s="3">
        <v>0</v>
      </c>
      <c r="G703" s="3">
        <v>70832.800000000003</v>
      </c>
    </row>
    <row r="704" spans="1:7" x14ac:dyDescent="0.2">
      <c r="A704" s="3">
        <v>2013</v>
      </c>
      <c r="B704" s="3">
        <v>325</v>
      </c>
      <c r="C704" s="3" t="str">
        <f>VLOOKUP(B704, '[1]DAR area codes'!A:B,2,FALSE)</f>
        <v>maui</v>
      </c>
      <c r="D704" s="4">
        <v>3406.4</v>
      </c>
      <c r="E704" s="6"/>
      <c r="F704" s="3">
        <v>0</v>
      </c>
      <c r="G704" s="3">
        <v>8438.7999999999993</v>
      </c>
    </row>
    <row r="705" spans="1:7" x14ac:dyDescent="0.2">
      <c r="A705" s="3">
        <v>2013</v>
      </c>
      <c r="B705" s="3">
        <v>326</v>
      </c>
      <c r="C705" s="3" t="str">
        <f>VLOOKUP(B705, '[1]DAR area codes'!A:B,2,FALSE)</f>
        <v>maui</v>
      </c>
      <c r="E705" s="6"/>
      <c r="F705" s="3">
        <v>0</v>
      </c>
      <c r="G705" s="3">
        <v>12890.699999999999</v>
      </c>
    </row>
    <row r="706" spans="1:7" x14ac:dyDescent="0.2">
      <c r="A706" s="3">
        <v>2013</v>
      </c>
      <c r="B706" s="3">
        <v>327</v>
      </c>
      <c r="C706" s="3" t="str">
        <f>VLOOKUP(B706, '[1]DAR area codes'!A:B,2,FALSE)</f>
        <v>maui</v>
      </c>
      <c r="D706" s="4">
        <v>22945.05</v>
      </c>
      <c r="E706" s="6">
        <v>3362.1</v>
      </c>
      <c r="F706" s="3">
        <v>0</v>
      </c>
      <c r="G706" s="3">
        <v>20732.599999999999</v>
      </c>
    </row>
    <row r="707" spans="1:7" x14ac:dyDescent="0.2">
      <c r="A707" s="3">
        <v>2013</v>
      </c>
      <c r="B707" s="3">
        <v>328</v>
      </c>
      <c r="C707" s="3" t="str">
        <f>VLOOKUP(B707, '[1]DAR area codes'!A:B,2,FALSE)</f>
        <v>maui</v>
      </c>
      <c r="D707" s="4">
        <v>3588.1</v>
      </c>
      <c r="E707" s="6">
        <v>191.3</v>
      </c>
      <c r="F707" s="3">
        <v>0</v>
      </c>
      <c r="G707" s="3">
        <v>71743.7</v>
      </c>
    </row>
    <row r="708" spans="1:7" x14ac:dyDescent="0.2">
      <c r="A708" s="3">
        <v>2013</v>
      </c>
      <c r="B708" s="3">
        <v>331</v>
      </c>
      <c r="C708" s="3" t="str">
        <f>VLOOKUP(B708, '[1]DAR area codes'!A:B,2,FALSE)</f>
        <v>maui</v>
      </c>
      <c r="D708" s="4">
        <v>39856.639999999999</v>
      </c>
      <c r="E708" s="6">
        <v>56231.77</v>
      </c>
      <c r="F708" s="3">
        <v>1260.74</v>
      </c>
      <c r="G708" s="3">
        <v>33513.5</v>
      </c>
    </row>
    <row r="709" spans="1:7" x14ac:dyDescent="0.2">
      <c r="A709" s="3">
        <v>2013</v>
      </c>
      <c r="B709" s="3">
        <v>332</v>
      </c>
      <c r="C709" s="3" t="str">
        <f>VLOOKUP(B709, '[1]DAR area codes'!A:B,2,FALSE)</f>
        <v>maui</v>
      </c>
      <c r="D709" s="4">
        <v>1191.5</v>
      </c>
      <c r="E709" s="6"/>
      <c r="F709" s="3">
        <v>0</v>
      </c>
      <c r="G709" s="3">
        <v>4714.5</v>
      </c>
    </row>
    <row r="710" spans="1:7" x14ac:dyDescent="0.2">
      <c r="A710" s="3">
        <v>2013</v>
      </c>
      <c r="B710" s="3">
        <v>333</v>
      </c>
      <c r="C710" s="3" t="str">
        <f>VLOOKUP(B710, '[1]DAR area codes'!A:B,2,FALSE)</f>
        <v>maui</v>
      </c>
      <c r="D710" s="4">
        <v>2727.9</v>
      </c>
      <c r="E710" s="6"/>
      <c r="F710" s="3">
        <v>43</v>
      </c>
      <c r="G710" s="3">
        <v>3749</v>
      </c>
    </row>
    <row r="711" spans="1:7" x14ac:dyDescent="0.2">
      <c r="A711" s="3">
        <v>2013</v>
      </c>
      <c r="B711" s="3">
        <v>400</v>
      </c>
      <c r="C711" s="3" t="str">
        <f>VLOOKUP(B711, '[1]DAR area codes'!A:B,2,FALSE)</f>
        <v>oahu</v>
      </c>
      <c r="D711" s="4">
        <v>61.64</v>
      </c>
      <c r="E711" s="6">
        <v>506.25</v>
      </c>
      <c r="F711" s="3">
        <v>11071.97</v>
      </c>
      <c r="G711" s="3">
        <v>323</v>
      </c>
    </row>
    <row r="712" spans="1:7" x14ac:dyDescent="0.2">
      <c r="A712" s="3">
        <v>2013</v>
      </c>
      <c r="B712" s="3">
        <v>401</v>
      </c>
      <c r="C712" s="3" t="str">
        <f>VLOOKUP(B712, '[1]DAR area codes'!A:B,2,FALSE)</f>
        <v>oahu</v>
      </c>
      <c r="D712" s="4">
        <v>327.22000000000003</v>
      </c>
      <c r="E712" s="6">
        <v>2028.05</v>
      </c>
      <c r="F712" s="3">
        <v>77987.08</v>
      </c>
      <c r="G712" s="3">
        <v>1306</v>
      </c>
    </row>
    <row r="713" spans="1:7" x14ac:dyDescent="0.2">
      <c r="A713" s="3">
        <v>2013</v>
      </c>
      <c r="B713" s="3">
        <v>402</v>
      </c>
      <c r="C713" s="3" t="str">
        <f>VLOOKUP(B713, '[1]DAR area codes'!A:B,2,FALSE)</f>
        <v>oahu</v>
      </c>
      <c r="D713" s="4">
        <v>179.04</v>
      </c>
      <c r="E713" s="6">
        <v>1108.29</v>
      </c>
      <c r="F713" s="3">
        <v>58774.570000000007</v>
      </c>
      <c r="G713" s="3">
        <v>2267.1999999999998</v>
      </c>
    </row>
    <row r="714" spans="1:7" x14ac:dyDescent="0.2">
      <c r="A714" s="3">
        <v>2013</v>
      </c>
      <c r="B714" s="3">
        <v>403</v>
      </c>
      <c r="C714" s="3" t="str">
        <f>VLOOKUP(B714, '[1]DAR area codes'!A:B,2,FALSE)</f>
        <v>oahu</v>
      </c>
      <c r="D714" s="4">
        <v>689.7</v>
      </c>
      <c r="E714" s="6">
        <v>4036.61</v>
      </c>
      <c r="F714" s="3">
        <v>155584.59999999998</v>
      </c>
      <c r="G714" s="3">
        <v>30865.839999999997</v>
      </c>
    </row>
    <row r="715" spans="1:7" x14ac:dyDescent="0.2">
      <c r="A715" s="3">
        <v>2013</v>
      </c>
      <c r="B715" s="3">
        <v>404</v>
      </c>
      <c r="C715" s="3" t="str">
        <f>VLOOKUP(B715, '[1]DAR area codes'!A:B,2,FALSE)</f>
        <v>oahu</v>
      </c>
      <c r="D715" s="4">
        <v>1889</v>
      </c>
      <c r="E715" s="6">
        <v>3068.94</v>
      </c>
      <c r="F715" s="3">
        <v>73760.670000000013</v>
      </c>
      <c r="G715" s="3">
        <v>4451.8500000000004</v>
      </c>
    </row>
    <row r="716" spans="1:7" x14ac:dyDescent="0.2">
      <c r="A716" s="3">
        <v>2013</v>
      </c>
      <c r="B716" s="3">
        <v>405</v>
      </c>
      <c r="C716" s="3" t="str">
        <f>VLOOKUP(B716, '[1]DAR area codes'!A:B,2,FALSE)</f>
        <v>oahu</v>
      </c>
      <c r="D716" s="4">
        <v>1433</v>
      </c>
      <c r="E716" s="6">
        <v>1857</v>
      </c>
      <c r="F716" s="3">
        <v>16526.28</v>
      </c>
      <c r="G716" s="3">
        <v>102</v>
      </c>
    </row>
    <row r="717" spans="1:7" x14ac:dyDescent="0.2">
      <c r="A717" s="3">
        <v>2013</v>
      </c>
      <c r="B717" s="3">
        <v>406</v>
      </c>
      <c r="C717" s="3" t="str">
        <f>VLOOKUP(B717, '[1]DAR area codes'!A:B,2,FALSE)</f>
        <v>oahu</v>
      </c>
      <c r="D717" s="4">
        <v>929</v>
      </c>
      <c r="E717" s="6">
        <v>1868.34</v>
      </c>
      <c r="F717" s="3">
        <v>45574.46</v>
      </c>
      <c r="G717" s="3">
        <v>1410</v>
      </c>
    </row>
    <row r="718" spans="1:7" x14ac:dyDescent="0.2">
      <c r="A718" s="3">
        <v>2013</v>
      </c>
      <c r="B718" s="3">
        <v>407</v>
      </c>
      <c r="C718" s="3" t="str">
        <f>VLOOKUP(B718, '[1]DAR area codes'!A:B,2,FALSE)</f>
        <v>oahu</v>
      </c>
      <c r="D718" s="4">
        <v>164.9</v>
      </c>
      <c r="E718" s="6">
        <v>1442.01</v>
      </c>
      <c r="F718" s="3">
        <v>46516.289999999994</v>
      </c>
      <c r="G718" s="3">
        <v>267</v>
      </c>
    </row>
    <row r="719" spans="1:7" x14ac:dyDescent="0.2">
      <c r="A719" s="3">
        <v>2013</v>
      </c>
      <c r="B719" s="3">
        <v>408</v>
      </c>
      <c r="C719" s="3" t="str">
        <f>VLOOKUP(B719, '[1]DAR area codes'!A:B,2,FALSE)</f>
        <v>oahu</v>
      </c>
      <c r="E719" s="6">
        <v>454.08</v>
      </c>
      <c r="F719" s="3">
        <v>9122.880000000001</v>
      </c>
      <c r="G719" s="3">
        <v>178</v>
      </c>
    </row>
    <row r="720" spans="1:7" x14ac:dyDescent="0.2">
      <c r="A720" s="3">
        <v>2013</v>
      </c>
      <c r="B720" s="3">
        <v>409</v>
      </c>
      <c r="C720" s="3" t="str">
        <f>VLOOKUP(B720, '[1]DAR area codes'!A:B,2,FALSE)</f>
        <v>oahu</v>
      </c>
      <c r="E720" s="6">
        <v>450.5</v>
      </c>
      <c r="F720" s="3">
        <v>10816.080000000002</v>
      </c>
      <c r="G720" s="3">
        <v>1464.3</v>
      </c>
    </row>
    <row r="721" spans="1:7" x14ac:dyDescent="0.2">
      <c r="A721" s="3">
        <v>2013</v>
      </c>
      <c r="B721" s="3">
        <v>420</v>
      </c>
      <c r="C721" s="3" t="str">
        <f>VLOOKUP(B721, '[1]DAR area codes'!A:B,2,FALSE)</f>
        <v>oahu</v>
      </c>
      <c r="D721" s="4">
        <v>271</v>
      </c>
      <c r="E721" s="6"/>
      <c r="F721" s="3">
        <v>0</v>
      </c>
      <c r="G721" s="3">
        <v>16279</v>
      </c>
    </row>
    <row r="722" spans="1:7" x14ac:dyDescent="0.2">
      <c r="A722" s="3">
        <v>2013</v>
      </c>
      <c r="B722" s="3">
        <v>421</v>
      </c>
      <c r="C722" s="3" t="str">
        <f>VLOOKUP(B722, '[1]DAR area codes'!A:B,2,FALSE)</f>
        <v>oahu</v>
      </c>
      <c r="D722" s="4">
        <v>365.5</v>
      </c>
      <c r="E722" s="6">
        <v>65</v>
      </c>
      <c r="F722" s="3">
        <v>390</v>
      </c>
      <c r="G722" s="3">
        <v>86621.9</v>
      </c>
    </row>
    <row r="723" spans="1:7" x14ac:dyDescent="0.2">
      <c r="A723" s="3">
        <v>2013</v>
      </c>
      <c r="B723" s="3">
        <v>422</v>
      </c>
      <c r="C723" s="3" t="str">
        <f>VLOOKUP(B723, '[1]DAR area codes'!A:B,2,FALSE)</f>
        <v>oahu</v>
      </c>
      <c r="E723" s="6"/>
      <c r="F723" s="3">
        <v>4084.5</v>
      </c>
      <c r="G723" s="3">
        <v>71077.8</v>
      </c>
    </row>
    <row r="724" spans="1:7" x14ac:dyDescent="0.2">
      <c r="A724" s="3">
        <v>2013</v>
      </c>
      <c r="B724" s="3">
        <v>423</v>
      </c>
      <c r="C724" s="3" t="str">
        <f>VLOOKUP(B724, '[1]DAR area codes'!A:B,2,FALSE)</f>
        <v>oahu</v>
      </c>
      <c r="D724" s="4">
        <v>2954.3</v>
      </c>
      <c r="E724" s="6">
        <v>932</v>
      </c>
      <c r="F724" s="3">
        <v>10014.9</v>
      </c>
      <c r="G724" s="3">
        <v>240705.49000000002</v>
      </c>
    </row>
    <row r="725" spans="1:7" x14ac:dyDescent="0.2">
      <c r="A725" s="3">
        <v>2013</v>
      </c>
      <c r="B725" s="3">
        <v>424</v>
      </c>
      <c r="C725" s="3" t="str">
        <f>VLOOKUP(B725, '[1]DAR area codes'!A:B,2,FALSE)</f>
        <v>oahu</v>
      </c>
      <c r="E725" s="6"/>
      <c r="F725" s="3">
        <v>2167</v>
      </c>
      <c r="G725" s="3">
        <v>53217.55</v>
      </c>
    </row>
    <row r="726" spans="1:7" x14ac:dyDescent="0.2">
      <c r="A726" s="3">
        <v>2013</v>
      </c>
      <c r="B726" s="3">
        <v>425</v>
      </c>
      <c r="C726" s="3" t="str">
        <f>VLOOKUP(B726, '[1]DAR area codes'!A:B,2,FALSE)</f>
        <v>oahu</v>
      </c>
      <c r="D726" s="4">
        <v>351.5</v>
      </c>
      <c r="E726" s="6"/>
      <c r="F726" s="3">
        <v>0</v>
      </c>
      <c r="G726" s="3">
        <v>112076.76999999999</v>
      </c>
    </row>
    <row r="727" spans="1:7" x14ac:dyDescent="0.2">
      <c r="A727" s="3">
        <v>2013</v>
      </c>
      <c r="B727" s="3">
        <v>426</v>
      </c>
      <c r="C727" s="3" t="str">
        <f>VLOOKUP(B727, '[1]DAR area codes'!A:B,2,FALSE)</f>
        <v>oahu</v>
      </c>
      <c r="E727" s="6"/>
      <c r="F727" s="3">
        <v>0</v>
      </c>
      <c r="G727" s="3">
        <v>155164</v>
      </c>
    </row>
    <row r="728" spans="1:7" x14ac:dyDescent="0.2">
      <c r="A728" s="3">
        <v>2013</v>
      </c>
      <c r="B728" s="3">
        <v>427</v>
      </c>
      <c r="C728" s="3" t="str">
        <f>VLOOKUP(B728, '[1]DAR area codes'!A:B,2,FALSE)</f>
        <v>oahu</v>
      </c>
      <c r="D728" s="4">
        <v>116</v>
      </c>
      <c r="E728" s="6"/>
      <c r="F728" s="3">
        <v>0</v>
      </c>
      <c r="G728" s="3">
        <v>216223</v>
      </c>
    </row>
    <row r="729" spans="1:7" x14ac:dyDescent="0.2">
      <c r="A729" s="3">
        <v>2013</v>
      </c>
      <c r="B729" s="3">
        <v>428</v>
      </c>
      <c r="C729" s="3" t="str">
        <f>VLOOKUP(B729, '[1]DAR area codes'!A:B,2,FALSE)</f>
        <v>oahu</v>
      </c>
      <c r="E729" s="6"/>
      <c r="F729" s="3">
        <v>28.7</v>
      </c>
      <c r="G729" s="3">
        <v>18972</v>
      </c>
    </row>
    <row r="730" spans="1:7" x14ac:dyDescent="0.2">
      <c r="A730" s="3">
        <v>2013</v>
      </c>
      <c r="B730" s="3">
        <v>429</v>
      </c>
      <c r="C730" s="3" t="str">
        <f>VLOOKUP(B730, '[1]DAR area codes'!A:B,2,FALSE)</f>
        <v>oahu</v>
      </c>
      <c r="D730" s="4">
        <v>1943.5</v>
      </c>
      <c r="E730" s="6">
        <v>890.5</v>
      </c>
      <c r="F730" s="3">
        <v>380.5</v>
      </c>
      <c r="G730" s="3">
        <v>7652</v>
      </c>
    </row>
    <row r="731" spans="1:7" x14ac:dyDescent="0.2">
      <c r="A731" s="3">
        <v>2013</v>
      </c>
      <c r="B731" s="3">
        <v>500</v>
      </c>
      <c r="C731" s="3" t="str">
        <f>VLOOKUP(B731, '[1]DAR area codes'!A:B,2,FALSE)</f>
        <v>kauai</v>
      </c>
      <c r="D731" s="4">
        <v>603</v>
      </c>
      <c r="E731" s="6">
        <v>3825.2</v>
      </c>
      <c r="F731" s="3">
        <v>15809.75</v>
      </c>
      <c r="G731" s="3">
        <v>11756.400000000001</v>
      </c>
    </row>
    <row r="732" spans="1:7" x14ac:dyDescent="0.2">
      <c r="A732" s="3">
        <v>2013</v>
      </c>
      <c r="B732" s="3">
        <v>501</v>
      </c>
      <c r="C732" s="3" t="str">
        <f>VLOOKUP(B732, '[1]DAR area codes'!A:B,2,FALSE)</f>
        <v>kauai</v>
      </c>
      <c r="D732" s="4">
        <v>546</v>
      </c>
      <c r="E732" s="6">
        <v>1758.7</v>
      </c>
      <c r="F732" s="3">
        <v>17233.07</v>
      </c>
      <c r="G732" s="3">
        <v>4126.7</v>
      </c>
    </row>
    <row r="733" spans="1:7" x14ac:dyDescent="0.2">
      <c r="A733" s="3">
        <v>2013</v>
      </c>
      <c r="B733" s="3">
        <v>502</v>
      </c>
      <c r="C733" s="3" t="str">
        <f>VLOOKUP(B733, '[1]DAR area codes'!A:B,2,FALSE)</f>
        <v>kauai</v>
      </c>
      <c r="D733" s="4">
        <v>336</v>
      </c>
      <c r="E733" s="6"/>
      <c r="F733" s="3">
        <v>0</v>
      </c>
      <c r="G733" s="3">
        <v>2606</v>
      </c>
    </row>
    <row r="734" spans="1:7" x14ac:dyDescent="0.2">
      <c r="A734" s="3">
        <v>2013</v>
      </c>
      <c r="B734" s="3">
        <v>503</v>
      </c>
      <c r="C734" s="3" t="str">
        <f>VLOOKUP(B734, '[1]DAR area codes'!A:B,2,FALSE)</f>
        <v>kauai</v>
      </c>
      <c r="D734" s="4">
        <v>642.6</v>
      </c>
      <c r="E734" s="6"/>
      <c r="F734" s="3">
        <v>2256.25</v>
      </c>
      <c r="G734" s="3">
        <v>1350.5</v>
      </c>
    </row>
    <row r="735" spans="1:7" x14ac:dyDescent="0.2">
      <c r="A735" s="3">
        <v>2013</v>
      </c>
      <c r="B735" s="3">
        <v>504</v>
      </c>
      <c r="C735" s="3" t="str">
        <f>VLOOKUP(B735, '[1]DAR area codes'!A:B,2,FALSE)</f>
        <v>kauai</v>
      </c>
      <c r="D735" s="4">
        <v>1085.5</v>
      </c>
      <c r="E735" s="6">
        <v>1942.7</v>
      </c>
      <c r="F735" s="3">
        <v>11943.6</v>
      </c>
      <c r="G735" s="3">
        <v>28705.5</v>
      </c>
    </row>
    <row r="736" spans="1:7" x14ac:dyDescent="0.2">
      <c r="A736" s="3">
        <v>2013</v>
      </c>
      <c r="B736" s="3">
        <v>505</v>
      </c>
      <c r="C736" s="3" t="str">
        <f>VLOOKUP(B736, '[1]DAR area codes'!A:B,2,FALSE)</f>
        <v>kauai</v>
      </c>
      <c r="D736" s="4">
        <v>726.6</v>
      </c>
      <c r="E736" s="6">
        <v>11339.7</v>
      </c>
      <c r="F736" s="3">
        <v>563.20000000000005</v>
      </c>
      <c r="G736" s="3">
        <v>27540.100000000002</v>
      </c>
    </row>
    <row r="737" spans="1:7" x14ac:dyDescent="0.2">
      <c r="A737" s="3">
        <v>2013</v>
      </c>
      <c r="B737" s="3">
        <v>506</v>
      </c>
      <c r="C737" s="3" t="str">
        <f>VLOOKUP(B737, '[1]DAR area codes'!A:B,2,FALSE)</f>
        <v>kauai</v>
      </c>
      <c r="D737" s="4">
        <v>2791.5</v>
      </c>
      <c r="E737" s="6">
        <v>4705.8</v>
      </c>
      <c r="F737" s="3">
        <v>6302.7999999999993</v>
      </c>
      <c r="G737" s="3">
        <v>1322</v>
      </c>
    </row>
    <row r="738" spans="1:7" x14ac:dyDescent="0.2">
      <c r="A738" s="3">
        <v>2013</v>
      </c>
      <c r="B738" s="3">
        <v>507</v>
      </c>
      <c r="C738" s="3" t="str">
        <f>VLOOKUP(B738, '[1]DAR area codes'!A:B,2,FALSE)</f>
        <v>kauai</v>
      </c>
      <c r="E738" s="6"/>
      <c r="F738" s="3">
        <v>0</v>
      </c>
      <c r="G738" s="3">
        <v>0</v>
      </c>
    </row>
    <row r="739" spans="1:7" x14ac:dyDescent="0.2">
      <c r="A739" s="3">
        <v>2013</v>
      </c>
      <c r="B739" s="3">
        <v>508</v>
      </c>
      <c r="C739" s="3" t="str">
        <f>VLOOKUP(B739, '[1]DAR area codes'!A:B,2,FALSE)</f>
        <v>kauai</v>
      </c>
      <c r="D739" s="4">
        <v>1109</v>
      </c>
      <c r="E739" s="6">
        <v>4017.5</v>
      </c>
      <c r="F739" s="3">
        <v>1573</v>
      </c>
      <c r="G739" s="3">
        <v>60218</v>
      </c>
    </row>
    <row r="740" spans="1:7" x14ac:dyDescent="0.2">
      <c r="A740" s="3">
        <v>2013</v>
      </c>
      <c r="B740" s="3">
        <v>520</v>
      </c>
      <c r="C740" s="3" t="str">
        <f>VLOOKUP(B740, '[1]DAR area codes'!A:B,2,FALSE)</f>
        <v>kauai</v>
      </c>
      <c r="D740" s="4">
        <v>943.4</v>
      </c>
      <c r="E740" s="6">
        <v>3682.31</v>
      </c>
      <c r="F740" s="3">
        <v>10896.43</v>
      </c>
      <c r="G740" s="3">
        <v>257131.43</v>
      </c>
    </row>
    <row r="741" spans="1:7" x14ac:dyDescent="0.2">
      <c r="A741" s="3">
        <v>2013</v>
      </c>
      <c r="B741" s="3">
        <v>521</v>
      </c>
      <c r="C741" s="3" t="str">
        <f>VLOOKUP(B741, '[1]DAR area codes'!A:B,2,FALSE)</f>
        <v>kauai</v>
      </c>
      <c r="D741" s="4">
        <v>1184.5</v>
      </c>
      <c r="E741" s="6">
        <v>683</v>
      </c>
      <c r="F741" s="3">
        <v>4308</v>
      </c>
      <c r="G741" s="3">
        <v>4501.3</v>
      </c>
    </row>
    <row r="742" spans="1:7" x14ac:dyDescent="0.2">
      <c r="A742" s="3">
        <v>2013</v>
      </c>
      <c r="B742" s="3">
        <v>522</v>
      </c>
      <c r="C742" s="3" t="str">
        <f>VLOOKUP(B742, '[1]DAR area codes'!A:B,2,FALSE)</f>
        <v>kauai</v>
      </c>
      <c r="E742" s="6"/>
      <c r="F742" s="3">
        <v>0</v>
      </c>
      <c r="G742" s="3">
        <v>2772.36</v>
      </c>
    </row>
    <row r="743" spans="1:7" x14ac:dyDescent="0.2">
      <c r="A743" s="3">
        <v>2013</v>
      </c>
      <c r="B743" s="3">
        <v>523</v>
      </c>
      <c r="C743" s="3" t="str">
        <f>VLOOKUP(B743, '[1]DAR area codes'!A:B,2,FALSE)</f>
        <v>kauai</v>
      </c>
      <c r="D743" s="4">
        <v>310</v>
      </c>
      <c r="E743" s="6"/>
      <c r="F743" s="3">
        <v>0</v>
      </c>
      <c r="G743" s="3">
        <v>30980.2</v>
      </c>
    </row>
    <row r="744" spans="1:7" x14ac:dyDescent="0.2">
      <c r="A744" s="3">
        <v>2013</v>
      </c>
      <c r="B744" s="3">
        <v>524</v>
      </c>
      <c r="C744" s="3" t="str">
        <f>VLOOKUP(B744, '[1]DAR area codes'!A:B,2,FALSE)</f>
        <v>kauai</v>
      </c>
      <c r="D744" s="4">
        <v>915.1</v>
      </c>
      <c r="E744" s="6">
        <v>4585.7</v>
      </c>
      <c r="F744" s="3">
        <v>1611.25</v>
      </c>
      <c r="G744" s="3">
        <v>201113.72999999998</v>
      </c>
    </row>
    <row r="745" spans="1:7" x14ac:dyDescent="0.2">
      <c r="A745" s="3">
        <v>2013</v>
      </c>
      <c r="B745" s="3">
        <v>525</v>
      </c>
      <c r="C745" s="3" t="str">
        <f>VLOOKUP(B745, '[1]DAR area codes'!A:B,2,FALSE)</f>
        <v>kauai</v>
      </c>
      <c r="E745" s="6">
        <v>1437</v>
      </c>
      <c r="F745" s="3">
        <v>0</v>
      </c>
      <c r="G745" s="3">
        <v>20069</v>
      </c>
    </row>
    <row r="746" spans="1:7" x14ac:dyDescent="0.2">
      <c r="A746" s="3">
        <v>2013</v>
      </c>
      <c r="B746" s="3">
        <v>526</v>
      </c>
      <c r="C746" s="3" t="str">
        <f>VLOOKUP(B746, '[1]DAR area codes'!A:B,2,FALSE)</f>
        <v>kauai</v>
      </c>
      <c r="E746" s="6"/>
      <c r="F746" s="3">
        <v>0</v>
      </c>
      <c r="G746" s="3">
        <v>4247.8</v>
      </c>
    </row>
    <row r="747" spans="1:7" x14ac:dyDescent="0.2">
      <c r="A747" s="3">
        <v>2013</v>
      </c>
      <c r="B747" s="3">
        <v>527</v>
      </c>
      <c r="C747" s="3" t="str">
        <f>VLOOKUP(B747, '[1]DAR area codes'!A:B,2,FALSE)</f>
        <v>kauai</v>
      </c>
      <c r="E747" s="6"/>
      <c r="F747" s="3">
        <v>0</v>
      </c>
      <c r="G747" s="3">
        <v>0</v>
      </c>
    </row>
    <row r="748" spans="1:7" x14ac:dyDescent="0.2">
      <c r="A748" s="3">
        <v>2013</v>
      </c>
      <c r="B748" s="3">
        <v>528</v>
      </c>
      <c r="C748" s="3" t="str">
        <f>VLOOKUP(B748, '[1]DAR area codes'!A:B,2,FALSE)</f>
        <v>kauai</v>
      </c>
      <c r="E748" s="6"/>
      <c r="F748" s="3">
        <v>0</v>
      </c>
      <c r="G748" s="3">
        <v>17136.3</v>
      </c>
    </row>
    <row r="749" spans="1:7" x14ac:dyDescent="0.2">
      <c r="A749" s="3">
        <v>2012</v>
      </c>
      <c r="B749" s="3">
        <v>100</v>
      </c>
      <c r="C749" s="3" t="str">
        <f>VLOOKUP(B749, '[1]DAR area codes'!A:B,2,FALSE)</f>
        <v>hawaii</v>
      </c>
      <c r="D749" s="4">
        <v>1945.5</v>
      </c>
      <c r="E749" s="6">
        <v>1379.6</v>
      </c>
      <c r="F749" s="3">
        <v>13477.109999999997</v>
      </c>
      <c r="G749" s="3">
        <v>82658.16</v>
      </c>
    </row>
    <row r="750" spans="1:7" x14ac:dyDescent="0.2">
      <c r="A750" s="3">
        <v>2012</v>
      </c>
      <c r="B750" s="3">
        <v>101</v>
      </c>
      <c r="C750" s="3" t="str">
        <f>VLOOKUP(B750, '[1]DAR area codes'!A:B,2,FALSE)</f>
        <v>hawaii</v>
      </c>
      <c r="D750" s="4">
        <v>2686.15</v>
      </c>
      <c r="E750" s="6">
        <v>1183.0999999999999</v>
      </c>
      <c r="F750" s="3">
        <v>135531.69</v>
      </c>
      <c r="G750" s="3">
        <v>150471.27000000002</v>
      </c>
    </row>
    <row r="751" spans="1:7" x14ac:dyDescent="0.2">
      <c r="A751" s="3">
        <v>2012</v>
      </c>
      <c r="B751" s="3">
        <v>102</v>
      </c>
      <c r="C751" s="3" t="str">
        <f>VLOOKUP(B751, '[1]DAR area codes'!A:B,2,FALSE)</f>
        <v>hawaii</v>
      </c>
      <c r="D751" s="4">
        <v>3254.1</v>
      </c>
      <c r="E751" s="6">
        <v>2531.5</v>
      </c>
      <c r="F751" s="3">
        <v>10972.619999999999</v>
      </c>
      <c r="G751" s="3">
        <v>38120.199999999997</v>
      </c>
    </row>
    <row r="752" spans="1:7" x14ac:dyDescent="0.2">
      <c r="A752" s="3">
        <v>2012</v>
      </c>
      <c r="B752" s="3">
        <v>103</v>
      </c>
      <c r="C752" s="3" t="str">
        <f>VLOOKUP(B752, '[1]DAR area codes'!A:B,2,FALSE)</f>
        <v>hawaii</v>
      </c>
      <c r="D752" s="4">
        <v>2245.75</v>
      </c>
      <c r="E752" s="6">
        <v>864.5</v>
      </c>
      <c r="F752" s="3">
        <v>1331.87</v>
      </c>
      <c r="G752" s="3">
        <v>2731.9</v>
      </c>
    </row>
    <row r="753" spans="1:7" x14ac:dyDescent="0.2">
      <c r="A753" s="3">
        <v>2012</v>
      </c>
      <c r="B753" s="3">
        <v>104</v>
      </c>
      <c r="C753" s="3" t="str">
        <f>VLOOKUP(B753, '[1]DAR area codes'!A:B,2,FALSE)</f>
        <v>hawaii</v>
      </c>
      <c r="D753" s="4">
        <v>136.6</v>
      </c>
      <c r="E753" s="6"/>
      <c r="F753" s="3">
        <v>3382.57</v>
      </c>
      <c r="G753" s="3">
        <v>12073.900000000001</v>
      </c>
    </row>
    <row r="754" spans="1:7" x14ac:dyDescent="0.2">
      <c r="A754" s="3">
        <v>2012</v>
      </c>
      <c r="B754" s="3">
        <v>105</v>
      </c>
      <c r="C754" s="3" t="str">
        <f>VLOOKUP(B754, '[1]DAR area codes'!A:B,2,FALSE)</f>
        <v>hawaii</v>
      </c>
      <c r="D754" s="4">
        <v>2848.2</v>
      </c>
      <c r="E754" s="6">
        <v>462.2</v>
      </c>
      <c r="F754" s="3">
        <v>10784.419999999998</v>
      </c>
      <c r="G754" s="3">
        <v>16898.7</v>
      </c>
    </row>
    <row r="755" spans="1:7" x14ac:dyDescent="0.2">
      <c r="A755" s="3">
        <v>2012</v>
      </c>
      <c r="B755" s="3">
        <v>106</v>
      </c>
      <c r="C755" s="3" t="str">
        <f>VLOOKUP(B755, '[1]DAR area codes'!A:B,2,FALSE)</f>
        <v>hawaii</v>
      </c>
      <c r="D755" s="4">
        <v>5224.8</v>
      </c>
      <c r="E755" s="6">
        <v>1290.8</v>
      </c>
      <c r="F755" s="3">
        <v>29761.81</v>
      </c>
      <c r="G755" s="3">
        <v>56601.56</v>
      </c>
    </row>
    <row r="756" spans="1:7" x14ac:dyDescent="0.2">
      <c r="A756" s="3">
        <v>2012</v>
      </c>
      <c r="B756" s="3">
        <v>107</v>
      </c>
      <c r="C756" s="3" t="str">
        <f>VLOOKUP(B756, '[1]DAR area codes'!A:B,2,FALSE)</f>
        <v>hawaii</v>
      </c>
      <c r="D756" s="4">
        <v>2901.3</v>
      </c>
      <c r="E756" s="6">
        <v>590.4</v>
      </c>
      <c r="F756" s="3">
        <v>8311.2999999999993</v>
      </c>
      <c r="G756" s="3">
        <v>17802.900000000001</v>
      </c>
    </row>
    <row r="757" spans="1:7" x14ac:dyDescent="0.2">
      <c r="A757" s="3">
        <v>2012</v>
      </c>
      <c r="B757" s="3">
        <v>108</v>
      </c>
      <c r="C757" s="3" t="str">
        <f>VLOOKUP(B757, '[1]DAR area codes'!A:B,2,FALSE)</f>
        <v>hawaii</v>
      </c>
      <c r="D757" s="4">
        <v>2031</v>
      </c>
      <c r="E757" s="6">
        <v>698</v>
      </c>
      <c r="F757" s="3">
        <v>3880.7000000000003</v>
      </c>
      <c r="G757" s="3">
        <v>38406.699999999997</v>
      </c>
    </row>
    <row r="758" spans="1:7" x14ac:dyDescent="0.2">
      <c r="A758" s="3">
        <v>2012</v>
      </c>
      <c r="B758" s="3">
        <v>120</v>
      </c>
      <c r="C758" s="3" t="str">
        <f>VLOOKUP(B758, '[1]DAR area codes'!A:B,2,FALSE)</f>
        <v>hawaii</v>
      </c>
      <c r="D758" s="4">
        <v>2700.1</v>
      </c>
      <c r="E758" s="6">
        <v>962.8</v>
      </c>
      <c r="F758" s="3">
        <v>1795.3999999999999</v>
      </c>
      <c r="G758" s="3">
        <v>97083.6</v>
      </c>
    </row>
    <row r="759" spans="1:7" x14ac:dyDescent="0.2">
      <c r="A759" s="3">
        <v>2012</v>
      </c>
      <c r="B759" s="3">
        <v>121</v>
      </c>
      <c r="C759" s="3" t="str">
        <f>VLOOKUP(B759, '[1]DAR area codes'!A:B,2,FALSE)</f>
        <v>hawaii</v>
      </c>
      <c r="D759" s="4">
        <v>5172.62</v>
      </c>
      <c r="E759" s="6">
        <v>2911.1</v>
      </c>
      <c r="F759" s="3">
        <v>22216.440000000002</v>
      </c>
      <c r="G759" s="3">
        <v>1159760.03</v>
      </c>
    </row>
    <row r="760" spans="1:7" x14ac:dyDescent="0.2">
      <c r="A760" s="3">
        <v>2012</v>
      </c>
      <c r="B760" s="3">
        <v>122</v>
      </c>
      <c r="C760" s="3" t="str">
        <f>VLOOKUP(B760, '[1]DAR area codes'!A:B,2,FALSE)</f>
        <v>hawaii</v>
      </c>
      <c r="D760" s="4">
        <v>10707.8</v>
      </c>
      <c r="E760" s="6">
        <v>2733.37</v>
      </c>
      <c r="F760" s="3">
        <v>1809.2</v>
      </c>
      <c r="G760" s="3">
        <v>155970.44</v>
      </c>
    </row>
    <row r="761" spans="1:7" x14ac:dyDescent="0.2">
      <c r="A761" s="3">
        <v>2012</v>
      </c>
      <c r="B761" s="3">
        <v>123</v>
      </c>
      <c r="C761" s="3" t="str">
        <f>VLOOKUP(B761, '[1]DAR area codes'!A:B,2,FALSE)</f>
        <v>hawaii</v>
      </c>
      <c r="E761" s="6"/>
      <c r="F761" s="3">
        <v>0</v>
      </c>
      <c r="G761" s="3">
        <v>5276.2</v>
      </c>
    </row>
    <row r="762" spans="1:7" x14ac:dyDescent="0.2">
      <c r="A762" s="3">
        <v>2012</v>
      </c>
      <c r="B762" s="3">
        <v>124</v>
      </c>
      <c r="C762" s="3" t="str">
        <f>VLOOKUP(B762, '[1]DAR area codes'!A:B,2,FALSE)</f>
        <v>hawaii</v>
      </c>
      <c r="E762" s="6"/>
      <c r="F762" s="3">
        <v>0</v>
      </c>
      <c r="G762" s="3">
        <v>13937</v>
      </c>
    </row>
    <row r="763" spans="1:7" x14ac:dyDescent="0.2">
      <c r="A763" s="3">
        <v>2012</v>
      </c>
      <c r="B763" s="3">
        <v>125</v>
      </c>
      <c r="C763" s="3" t="str">
        <f>VLOOKUP(B763, '[1]DAR area codes'!A:B,2,FALSE)</f>
        <v>hawaii</v>
      </c>
      <c r="D763" s="4">
        <v>1650.5</v>
      </c>
      <c r="E763" s="6">
        <v>468.6</v>
      </c>
      <c r="F763" s="3">
        <v>1328.6999999999998</v>
      </c>
      <c r="G763" s="3">
        <v>326000.05</v>
      </c>
    </row>
    <row r="764" spans="1:7" x14ac:dyDescent="0.2">
      <c r="A764" s="3">
        <v>2012</v>
      </c>
      <c r="B764" s="3">
        <v>126</v>
      </c>
      <c r="C764" s="3" t="str">
        <f>VLOOKUP(B764, '[1]DAR area codes'!A:B,2,FALSE)</f>
        <v>hawaii</v>
      </c>
      <c r="D764" s="4">
        <v>2558.1</v>
      </c>
      <c r="E764" s="6">
        <v>318.45</v>
      </c>
      <c r="F764" s="3">
        <v>575.58000000000004</v>
      </c>
      <c r="G764" s="3">
        <v>266644.83</v>
      </c>
    </row>
    <row r="765" spans="1:7" x14ac:dyDescent="0.2">
      <c r="A765" s="3">
        <v>2012</v>
      </c>
      <c r="B765" s="3">
        <v>127</v>
      </c>
      <c r="C765" s="3" t="str">
        <f>VLOOKUP(B765, '[1]DAR area codes'!A:B,2,FALSE)</f>
        <v>hawaii</v>
      </c>
      <c r="D765" s="4">
        <v>780.9</v>
      </c>
      <c r="E765" s="6"/>
      <c r="F765" s="3">
        <v>0</v>
      </c>
      <c r="G765" s="3">
        <v>103452.6</v>
      </c>
    </row>
    <row r="766" spans="1:7" x14ac:dyDescent="0.2">
      <c r="A766" s="3">
        <v>2012</v>
      </c>
      <c r="B766" s="3">
        <v>128</v>
      </c>
      <c r="C766" s="3" t="str">
        <f>VLOOKUP(B766, '[1]DAR area codes'!A:B,2,FALSE)</f>
        <v>hawaii</v>
      </c>
      <c r="D766" s="4">
        <v>939</v>
      </c>
      <c r="E766" s="6">
        <v>744.7</v>
      </c>
      <c r="F766" s="3">
        <v>0</v>
      </c>
      <c r="G766" s="3">
        <v>48737.8</v>
      </c>
    </row>
    <row r="767" spans="1:7" x14ac:dyDescent="0.2">
      <c r="A767" s="3">
        <v>2012</v>
      </c>
      <c r="B767" s="3">
        <v>300</v>
      </c>
      <c r="C767" s="3" t="str">
        <f>VLOOKUP(B767, '[1]DAR area codes'!A:B,2,FALSE)</f>
        <v>maui</v>
      </c>
      <c r="E767" s="6">
        <v>3346.05</v>
      </c>
      <c r="F767" s="3">
        <v>61472.05</v>
      </c>
      <c r="G767" s="3">
        <v>3210.3</v>
      </c>
    </row>
    <row r="768" spans="1:7" x14ac:dyDescent="0.2">
      <c r="A768" s="3">
        <v>2012</v>
      </c>
      <c r="B768" s="3">
        <v>301</v>
      </c>
      <c r="C768" s="3" t="str">
        <f>VLOOKUP(B768, '[1]DAR area codes'!A:B,2,FALSE)</f>
        <v>maui</v>
      </c>
      <c r="E768" s="6">
        <v>1060.3</v>
      </c>
      <c r="F768" s="3">
        <v>1844</v>
      </c>
      <c r="G768" s="3">
        <v>108</v>
      </c>
    </row>
    <row r="769" spans="1:7" x14ac:dyDescent="0.2">
      <c r="A769" s="3">
        <v>2012</v>
      </c>
      <c r="B769" s="3">
        <v>302</v>
      </c>
      <c r="C769" s="3" t="str">
        <f>VLOOKUP(B769, '[1]DAR area codes'!A:B,2,FALSE)</f>
        <v>maui</v>
      </c>
      <c r="D769" s="4">
        <v>1956.4</v>
      </c>
      <c r="E769" s="6">
        <v>879.9</v>
      </c>
      <c r="F769" s="3">
        <v>30292.29</v>
      </c>
      <c r="G769" s="3">
        <v>639.4</v>
      </c>
    </row>
    <row r="770" spans="1:7" x14ac:dyDescent="0.2">
      <c r="A770" s="3">
        <v>2012</v>
      </c>
      <c r="B770" s="3">
        <v>303</v>
      </c>
      <c r="C770" s="3" t="str">
        <f>VLOOKUP(B770, '[1]DAR area codes'!A:B,2,FALSE)</f>
        <v>maui</v>
      </c>
      <c r="D770" s="4">
        <v>1909.7</v>
      </c>
      <c r="E770" s="6">
        <v>571</v>
      </c>
      <c r="F770" s="3">
        <v>3430.1</v>
      </c>
      <c r="G770" s="3">
        <v>3666.8500000000004</v>
      </c>
    </row>
    <row r="771" spans="1:7" x14ac:dyDescent="0.2">
      <c r="A771" s="3">
        <v>2012</v>
      </c>
      <c r="B771" s="3">
        <v>304</v>
      </c>
      <c r="C771" s="3" t="str">
        <f>VLOOKUP(B771, '[1]DAR area codes'!A:B,2,FALSE)</f>
        <v>maui</v>
      </c>
      <c r="D771" s="4">
        <v>2876.1</v>
      </c>
      <c r="E771" s="6">
        <v>1666.7</v>
      </c>
      <c r="F771" s="3">
        <v>355.5</v>
      </c>
      <c r="G771" s="3">
        <v>1854.6</v>
      </c>
    </row>
    <row r="772" spans="1:7" x14ac:dyDescent="0.2">
      <c r="A772" s="3">
        <v>2012</v>
      </c>
      <c r="B772" s="3">
        <v>305</v>
      </c>
      <c r="C772" s="3" t="str">
        <f>VLOOKUP(B772, '[1]DAR area codes'!A:B,2,FALSE)</f>
        <v>maui</v>
      </c>
      <c r="D772" s="4">
        <v>5887.9</v>
      </c>
      <c r="E772" s="6">
        <v>857.2</v>
      </c>
      <c r="F772" s="3">
        <v>630.69999999999993</v>
      </c>
      <c r="G772" s="3">
        <v>5577.4000000000005</v>
      </c>
    </row>
    <row r="773" spans="1:7" x14ac:dyDescent="0.2">
      <c r="A773" s="3">
        <v>2012</v>
      </c>
      <c r="B773" s="3">
        <v>306</v>
      </c>
      <c r="C773" s="3" t="str">
        <f>VLOOKUP(B773, '[1]DAR area codes'!A:B,2,FALSE)</f>
        <v>maui</v>
      </c>
      <c r="E773" s="6"/>
      <c r="F773" s="3">
        <v>0</v>
      </c>
      <c r="G773" s="3">
        <v>1085.7</v>
      </c>
    </row>
    <row r="774" spans="1:7" x14ac:dyDescent="0.2">
      <c r="A774" s="3">
        <v>2012</v>
      </c>
      <c r="B774" s="3">
        <v>307</v>
      </c>
      <c r="C774" s="3" t="str">
        <f>VLOOKUP(B774, '[1]DAR area codes'!A:B,2,FALSE)</f>
        <v>maui</v>
      </c>
      <c r="E774" s="6"/>
      <c r="F774" s="3">
        <v>0</v>
      </c>
      <c r="G774" s="3">
        <v>134</v>
      </c>
    </row>
    <row r="775" spans="1:7" x14ac:dyDescent="0.2">
      <c r="A775" s="3">
        <v>2012</v>
      </c>
      <c r="B775" s="3">
        <v>308</v>
      </c>
      <c r="C775" s="3" t="str">
        <f>VLOOKUP(B775, '[1]DAR area codes'!A:B,2,FALSE)</f>
        <v>maui</v>
      </c>
      <c r="D775" s="4">
        <v>3275.4</v>
      </c>
      <c r="E775" s="6">
        <v>4886.51</v>
      </c>
      <c r="F775" s="3">
        <v>910.5</v>
      </c>
      <c r="G775" s="3">
        <v>4361.8999999999996</v>
      </c>
    </row>
    <row r="776" spans="1:7" x14ac:dyDescent="0.2">
      <c r="A776" s="3">
        <v>2012</v>
      </c>
      <c r="B776" s="3">
        <v>309</v>
      </c>
      <c r="C776" s="3" t="str">
        <f>VLOOKUP(B776, '[1]DAR area codes'!A:B,2,FALSE)</f>
        <v>maui</v>
      </c>
      <c r="E776" s="6"/>
      <c r="F776" s="3">
        <v>26</v>
      </c>
      <c r="G776" s="3">
        <v>1174</v>
      </c>
    </row>
    <row r="777" spans="1:7" x14ac:dyDescent="0.2">
      <c r="A777" s="3">
        <v>2012</v>
      </c>
      <c r="B777" s="3">
        <v>310</v>
      </c>
      <c r="C777" s="3" t="str">
        <f>VLOOKUP(B777, '[1]DAR area codes'!A:B,2,FALSE)</f>
        <v>maui</v>
      </c>
      <c r="D777" s="4">
        <v>1334.1</v>
      </c>
      <c r="E777" s="6">
        <v>342</v>
      </c>
      <c r="F777" s="3">
        <v>1178.4000000000001</v>
      </c>
      <c r="G777" s="3">
        <v>1329</v>
      </c>
    </row>
    <row r="778" spans="1:7" x14ac:dyDescent="0.2">
      <c r="A778" s="3">
        <v>2012</v>
      </c>
      <c r="B778" s="3">
        <v>311</v>
      </c>
      <c r="C778" s="3" t="str">
        <f>VLOOKUP(B778, '[1]DAR area codes'!A:B,2,FALSE)</f>
        <v>maui</v>
      </c>
      <c r="D778" s="4">
        <v>1925.32</v>
      </c>
      <c r="E778" s="6">
        <v>1768.33</v>
      </c>
      <c r="F778" s="3">
        <v>693.3</v>
      </c>
      <c r="G778" s="3">
        <v>309.5</v>
      </c>
    </row>
    <row r="779" spans="1:7" x14ac:dyDescent="0.2">
      <c r="A779" s="3">
        <v>2012</v>
      </c>
      <c r="B779" s="3">
        <v>312</v>
      </c>
      <c r="C779" s="3" t="str">
        <f>VLOOKUP(B779, '[1]DAR area codes'!A:B,2,FALSE)</f>
        <v>maui</v>
      </c>
      <c r="D779" s="4">
        <v>615.29999999999995</v>
      </c>
      <c r="E779" s="6"/>
      <c r="F779" s="3">
        <v>10389</v>
      </c>
      <c r="G779" s="3">
        <v>1531</v>
      </c>
    </row>
    <row r="780" spans="1:7" x14ac:dyDescent="0.2">
      <c r="A780" s="3">
        <v>2012</v>
      </c>
      <c r="B780" s="3">
        <v>313</v>
      </c>
      <c r="C780" s="3" t="str">
        <f>VLOOKUP(B780, '[1]DAR area codes'!A:B,2,FALSE)</f>
        <v>maui</v>
      </c>
      <c r="D780" s="4">
        <v>6288.4</v>
      </c>
      <c r="E780" s="6">
        <v>487.6</v>
      </c>
      <c r="F780" s="3">
        <v>0</v>
      </c>
      <c r="G780" s="3">
        <v>3409.4</v>
      </c>
    </row>
    <row r="781" spans="1:7" x14ac:dyDescent="0.2">
      <c r="A781" s="3">
        <v>2012</v>
      </c>
      <c r="B781" s="3">
        <v>314</v>
      </c>
      <c r="C781" s="3" t="str">
        <f>VLOOKUP(B781, '[1]DAR area codes'!A:B,2,FALSE)</f>
        <v>maui</v>
      </c>
      <c r="E781" s="6">
        <v>259.5</v>
      </c>
      <c r="F781" s="3">
        <v>81</v>
      </c>
      <c r="G781" s="3">
        <v>1255</v>
      </c>
    </row>
    <row r="782" spans="1:7" x14ac:dyDescent="0.2">
      <c r="A782" s="3">
        <v>2012</v>
      </c>
      <c r="B782" s="3">
        <v>320</v>
      </c>
      <c r="C782" s="3" t="str">
        <f>VLOOKUP(B782, '[1]DAR area codes'!A:B,2,FALSE)</f>
        <v>maui</v>
      </c>
      <c r="D782" s="4">
        <v>33504.22</v>
      </c>
      <c r="E782" s="6">
        <v>12649.21</v>
      </c>
      <c r="F782" s="3">
        <v>11853.43</v>
      </c>
      <c r="G782" s="3">
        <v>51688.800000000003</v>
      </c>
    </row>
    <row r="783" spans="1:7" x14ac:dyDescent="0.2">
      <c r="A783" s="3">
        <v>2012</v>
      </c>
      <c r="B783" s="3">
        <v>321</v>
      </c>
      <c r="C783" s="3" t="str">
        <f>VLOOKUP(B783, '[1]DAR area codes'!A:B,2,FALSE)</f>
        <v>maui</v>
      </c>
      <c r="D783" s="4">
        <v>19130.25</v>
      </c>
      <c r="E783" s="6">
        <v>4943.3</v>
      </c>
      <c r="F783" s="3">
        <v>2809.2999999999997</v>
      </c>
      <c r="G783" s="3">
        <v>5780</v>
      </c>
    </row>
    <row r="784" spans="1:7" x14ac:dyDescent="0.2">
      <c r="A784" s="3">
        <v>2012</v>
      </c>
      <c r="B784" s="3">
        <v>322</v>
      </c>
      <c r="C784" s="3" t="str">
        <f>VLOOKUP(B784, '[1]DAR area codes'!A:B,2,FALSE)</f>
        <v>maui</v>
      </c>
      <c r="D784" s="4">
        <v>2658.2</v>
      </c>
      <c r="E784" s="6"/>
      <c r="F784" s="3">
        <v>0</v>
      </c>
      <c r="G784" s="3">
        <v>33947.699999999997</v>
      </c>
    </row>
    <row r="785" spans="1:7" x14ac:dyDescent="0.2">
      <c r="A785" s="3">
        <v>2012</v>
      </c>
      <c r="B785" s="3">
        <v>323</v>
      </c>
      <c r="C785" s="3" t="str">
        <f>VLOOKUP(B785, '[1]DAR area codes'!A:B,2,FALSE)</f>
        <v>maui</v>
      </c>
      <c r="D785" s="4">
        <v>883</v>
      </c>
      <c r="E785" s="6"/>
      <c r="F785" s="3">
        <v>0</v>
      </c>
      <c r="G785" s="3">
        <v>128175.28</v>
      </c>
    </row>
    <row r="786" spans="1:7" x14ac:dyDescent="0.2">
      <c r="A786" s="3">
        <v>2012</v>
      </c>
      <c r="B786" s="3">
        <v>324</v>
      </c>
      <c r="C786" s="3" t="str">
        <f>VLOOKUP(B786, '[1]DAR area codes'!A:B,2,FALSE)</f>
        <v>maui</v>
      </c>
      <c r="D786" s="4">
        <v>3449.4</v>
      </c>
      <c r="E786" s="6"/>
      <c r="F786" s="3">
        <v>0</v>
      </c>
      <c r="G786" s="3">
        <v>108850.1</v>
      </c>
    </row>
    <row r="787" spans="1:7" x14ac:dyDescent="0.2">
      <c r="A787" s="3">
        <v>2012</v>
      </c>
      <c r="B787" s="3">
        <v>325</v>
      </c>
      <c r="C787" s="3" t="str">
        <f>VLOOKUP(B787, '[1]DAR area codes'!A:B,2,FALSE)</f>
        <v>maui</v>
      </c>
      <c r="D787" s="4">
        <v>2736.4</v>
      </c>
      <c r="E787" s="6"/>
      <c r="F787" s="3">
        <v>0</v>
      </c>
      <c r="G787" s="3">
        <v>5757.5</v>
      </c>
    </row>
    <row r="788" spans="1:7" x14ac:dyDescent="0.2">
      <c r="A788" s="3">
        <v>2012</v>
      </c>
      <c r="B788" s="3">
        <v>326</v>
      </c>
      <c r="C788" s="3" t="str">
        <f>VLOOKUP(B788, '[1]DAR area codes'!A:B,2,FALSE)</f>
        <v>maui</v>
      </c>
      <c r="E788" s="6"/>
      <c r="F788" s="3">
        <v>0</v>
      </c>
      <c r="G788" s="3">
        <v>123213.39</v>
      </c>
    </row>
    <row r="789" spans="1:7" x14ac:dyDescent="0.2">
      <c r="A789" s="3">
        <v>2012</v>
      </c>
      <c r="B789" s="3">
        <v>327</v>
      </c>
      <c r="C789" s="3" t="str">
        <f>VLOOKUP(B789, '[1]DAR area codes'!A:B,2,FALSE)</f>
        <v>maui</v>
      </c>
      <c r="D789" s="4">
        <v>17545</v>
      </c>
      <c r="E789" s="6">
        <v>3187</v>
      </c>
      <c r="F789" s="3">
        <v>20.5</v>
      </c>
      <c r="G789" s="3">
        <v>15429.9</v>
      </c>
    </row>
    <row r="790" spans="1:7" x14ac:dyDescent="0.2">
      <c r="A790" s="3">
        <v>2012</v>
      </c>
      <c r="B790" s="3">
        <v>328</v>
      </c>
      <c r="C790" s="3" t="str">
        <f>VLOOKUP(B790, '[1]DAR area codes'!A:B,2,FALSE)</f>
        <v>maui</v>
      </c>
      <c r="D790" s="4">
        <v>1388.3</v>
      </c>
      <c r="E790" s="6"/>
      <c r="F790" s="3">
        <v>0</v>
      </c>
      <c r="G790" s="3">
        <v>91075.55</v>
      </c>
    </row>
    <row r="791" spans="1:7" x14ac:dyDescent="0.2">
      <c r="A791" s="3">
        <v>2012</v>
      </c>
      <c r="B791" s="3">
        <v>331</v>
      </c>
      <c r="C791" s="3" t="str">
        <f>VLOOKUP(B791, '[1]DAR area codes'!A:B,2,FALSE)</f>
        <v>maui</v>
      </c>
      <c r="D791" s="4">
        <v>39872.870000000003</v>
      </c>
      <c r="E791" s="6">
        <v>53196.58</v>
      </c>
      <c r="F791" s="3">
        <v>1031.55</v>
      </c>
      <c r="G791" s="3">
        <v>45284.95</v>
      </c>
    </row>
    <row r="792" spans="1:7" x14ac:dyDescent="0.2">
      <c r="A792" s="3">
        <v>2012</v>
      </c>
      <c r="B792" s="3">
        <v>332</v>
      </c>
      <c r="C792" s="3" t="str">
        <f>VLOOKUP(B792, '[1]DAR area codes'!A:B,2,FALSE)</f>
        <v>maui</v>
      </c>
      <c r="D792" s="4">
        <v>611</v>
      </c>
      <c r="E792" s="6"/>
      <c r="F792" s="3">
        <v>0</v>
      </c>
      <c r="G792" s="3">
        <v>7079</v>
      </c>
    </row>
    <row r="793" spans="1:7" x14ac:dyDescent="0.2">
      <c r="A793" s="3">
        <v>2012</v>
      </c>
      <c r="B793" s="3">
        <v>333</v>
      </c>
      <c r="C793" s="3" t="str">
        <f>VLOOKUP(B793, '[1]DAR area codes'!A:B,2,FALSE)</f>
        <v>maui</v>
      </c>
      <c r="D793" s="4">
        <v>2182.5</v>
      </c>
      <c r="E793" s="6">
        <v>164</v>
      </c>
      <c r="F793" s="3">
        <v>0</v>
      </c>
      <c r="G793" s="3">
        <v>1744.8</v>
      </c>
    </row>
    <row r="794" spans="1:7" x14ac:dyDescent="0.2">
      <c r="A794" s="3">
        <v>2012</v>
      </c>
      <c r="B794" s="3">
        <v>400</v>
      </c>
      <c r="C794" s="3" t="str">
        <f>VLOOKUP(B794, '[1]DAR area codes'!A:B,2,FALSE)</f>
        <v>oahu</v>
      </c>
      <c r="D794" s="4">
        <v>130.1</v>
      </c>
      <c r="E794" s="6">
        <v>938.64</v>
      </c>
      <c r="F794" s="3">
        <v>20916.66</v>
      </c>
      <c r="G794" s="3">
        <v>1095</v>
      </c>
    </row>
    <row r="795" spans="1:7" x14ac:dyDescent="0.2">
      <c r="A795" s="3">
        <v>2012</v>
      </c>
      <c r="B795" s="3">
        <v>401</v>
      </c>
      <c r="C795" s="3" t="str">
        <f>VLOOKUP(B795, '[1]DAR area codes'!A:B,2,FALSE)</f>
        <v>oahu</v>
      </c>
      <c r="D795" s="4">
        <v>65.5</v>
      </c>
      <c r="E795" s="6">
        <v>3057.68</v>
      </c>
      <c r="F795" s="3">
        <v>63730.54</v>
      </c>
      <c r="G795" s="3">
        <v>4185</v>
      </c>
    </row>
    <row r="796" spans="1:7" x14ac:dyDescent="0.2">
      <c r="A796" s="3">
        <v>2012</v>
      </c>
      <c r="B796" s="3">
        <v>402</v>
      </c>
      <c r="C796" s="3" t="str">
        <f>VLOOKUP(B796, '[1]DAR area codes'!A:B,2,FALSE)</f>
        <v>oahu</v>
      </c>
      <c r="D796" s="4">
        <v>171.5</v>
      </c>
      <c r="E796" s="6">
        <v>6199.69</v>
      </c>
      <c r="F796" s="3">
        <v>65542.94</v>
      </c>
      <c r="G796" s="3">
        <v>1185</v>
      </c>
    </row>
    <row r="797" spans="1:7" x14ac:dyDescent="0.2">
      <c r="A797" s="3">
        <v>2012</v>
      </c>
      <c r="B797" s="3">
        <v>403</v>
      </c>
      <c r="C797" s="3" t="str">
        <f>VLOOKUP(B797, '[1]DAR area codes'!A:B,2,FALSE)</f>
        <v>oahu</v>
      </c>
      <c r="D797" s="4">
        <v>1014.55</v>
      </c>
      <c r="E797" s="6">
        <v>5977.59</v>
      </c>
      <c r="F797" s="3">
        <v>183637.83999999994</v>
      </c>
      <c r="G797" s="3">
        <v>46818.17</v>
      </c>
    </row>
    <row r="798" spans="1:7" x14ac:dyDescent="0.2">
      <c r="A798" s="3">
        <v>2012</v>
      </c>
      <c r="B798" s="3">
        <v>404</v>
      </c>
      <c r="C798" s="3" t="str">
        <f>VLOOKUP(B798, '[1]DAR area codes'!A:B,2,FALSE)</f>
        <v>oahu</v>
      </c>
      <c r="D798" s="4">
        <v>803.85</v>
      </c>
      <c r="E798" s="6">
        <v>4029.15</v>
      </c>
      <c r="F798" s="3">
        <v>61147.85</v>
      </c>
      <c r="G798" s="3">
        <v>1572</v>
      </c>
    </row>
    <row r="799" spans="1:7" x14ac:dyDescent="0.2">
      <c r="A799" s="3">
        <v>2012</v>
      </c>
      <c r="B799" s="3">
        <v>405</v>
      </c>
      <c r="C799" s="3" t="str">
        <f>VLOOKUP(B799, '[1]DAR area codes'!A:B,2,FALSE)</f>
        <v>oahu</v>
      </c>
      <c r="D799" s="4">
        <v>579.5</v>
      </c>
      <c r="E799" s="6">
        <v>370.6</v>
      </c>
      <c r="F799" s="3">
        <v>13104.739999999998</v>
      </c>
      <c r="G799" s="3">
        <v>0</v>
      </c>
    </row>
    <row r="800" spans="1:7" x14ac:dyDescent="0.2">
      <c r="A800" s="3">
        <v>2012</v>
      </c>
      <c r="B800" s="3">
        <v>406</v>
      </c>
      <c r="C800" s="3" t="str">
        <f>VLOOKUP(B800, '[1]DAR area codes'!A:B,2,FALSE)</f>
        <v>oahu</v>
      </c>
      <c r="D800" s="4">
        <v>129.5</v>
      </c>
      <c r="E800" s="6">
        <v>1662.34</v>
      </c>
      <c r="F800" s="3">
        <v>35028.71</v>
      </c>
      <c r="G800" s="3">
        <v>1389</v>
      </c>
    </row>
    <row r="801" spans="1:7" x14ac:dyDescent="0.2">
      <c r="A801" s="3">
        <v>2012</v>
      </c>
      <c r="B801" s="3">
        <v>407</v>
      </c>
      <c r="C801" s="3" t="str">
        <f>VLOOKUP(B801, '[1]DAR area codes'!A:B,2,FALSE)</f>
        <v>oahu</v>
      </c>
      <c r="D801" s="4">
        <v>749.28</v>
      </c>
      <c r="E801" s="6">
        <v>2910.02</v>
      </c>
      <c r="F801" s="3">
        <v>42440.820000000007</v>
      </c>
      <c r="G801" s="3">
        <v>415</v>
      </c>
    </row>
    <row r="802" spans="1:7" x14ac:dyDescent="0.2">
      <c r="A802" s="3">
        <v>2012</v>
      </c>
      <c r="B802" s="3">
        <v>408</v>
      </c>
      <c r="C802" s="3" t="str">
        <f>VLOOKUP(B802, '[1]DAR area codes'!A:B,2,FALSE)</f>
        <v>oahu</v>
      </c>
      <c r="E802" s="6">
        <v>488.24</v>
      </c>
      <c r="F802" s="3">
        <v>21467.069999999996</v>
      </c>
      <c r="G802" s="3">
        <v>399</v>
      </c>
    </row>
    <row r="803" spans="1:7" x14ac:dyDescent="0.2">
      <c r="A803" s="3">
        <v>2012</v>
      </c>
      <c r="B803" s="3">
        <v>409</v>
      </c>
      <c r="C803" s="3" t="str">
        <f>VLOOKUP(B803, '[1]DAR area codes'!A:B,2,FALSE)</f>
        <v>oahu</v>
      </c>
      <c r="D803" s="4">
        <v>534.1</v>
      </c>
      <c r="E803" s="6">
        <v>888.5</v>
      </c>
      <c r="F803" s="3">
        <v>15450.619999999999</v>
      </c>
      <c r="G803" s="3">
        <v>1703.5</v>
      </c>
    </row>
    <row r="804" spans="1:7" x14ac:dyDescent="0.2">
      <c r="A804" s="3">
        <v>2012</v>
      </c>
      <c r="B804" s="3">
        <v>420</v>
      </c>
      <c r="C804" s="3" t="str">
        <f>VLOOKUP(B804, '[1]DAR area codes'!A:B,2,FALSE)</f>
        <v>oahu</v>
      </c>
      <c r="D804" s="4">
        <v>180.5</v>
      </c>
      <c r="E804" s="6"/>
      <c r="F804" s="3">
        <v>0</v>
      </c>
      <c r="G804" s="3">
        <v>15571</v>
      </c>
    </row>
    <row r="805" spans="1:7" x14ac:dyDescent="0.2">
      <c r="A805" s="3">
        <v>2012</v>
      </c>
      <c r="B805" s="3">
        <v>421</v>
      </c>
      <c r="C805" s="3" t="str">
        <f>VLOOKUP(B805, '[1]DAR area codes'!A:B,2,FALSE)</f>
        <v>oahu</v>
      </c>
      <c r="D805" s="4">
        <v>401</v>
      </c>
      <c r="E805" s="6"/>
      <c r="F805" s="3">
        <v>75</v>
      </c>
      <c r="G805" s="3">
        <v>100988.20000000001</v>
      </c>
    </row>
    <row r="806" spans="1:7" x14ac:dyDescent="0.2">
      <c r="A806" s="3">
        <v>2012</v>
      </c>
      <c r="B806" s="3">
        <v>422</v>
      </c>
      <c r="C806" s="3" t="str">
        <f>VLOOKUP(B806, '[1]DAR area codes'!A:B,2,FALSE)</f>
        <v>oahu</v>
      </c>
      <c r="D806" s="4">
        <v>78</v>
      </c>
      <c r="E806" s="6">
        <v>344.5</v>
      </c>
      <c r="F806" s="3">
        <v>347</v>
      </c>
      <c r="G806" s="3">
        <v>73481.200000000012</v>
      </c>
    </row>
    <row r="807" spans="1:7" x14ac:dyDescent="0.2">
      <c r="A807" s="3">
        <v>2012</v>
      </c>
      <c r="B807" s="3">
        <v>423</v>
      </c>
      <c r="C807" s="3" t="str">
        <f>VLOOKUP(B807, '[1]DAR area codes'!A:B,2,FALSE)</f>
        <v>oahu</v>
      </c>
      <c r="D807" s="4">
        <v>1700.35</v>
      </c>
      <c r="E807" s="6">
        <v>2425.75</v>
      </c>
      <c r="F807" s="3">
        <v>13631.279999999999</v>
      </c>
      <c r="G807" s="3">
        <v>212602.34999999998</v>
      </c>
    </row>
    <row r="808" spans="1:7" x14ac:dyDescent="0.2">
      <c r="A808" s="3">
        <v>2012</v>
      </c>
      <c r="B808" s="3">
        <v>424</v>
      </c>
      <c r="C808" s="3" t="str">
        <f>VLOOKUP(B808, '[1]DAR area codes'!A:B,2,FALSE)</f>
        <v>oahu</v>
      </c>
      <c r="D808" s="4">
        <v>651.29999999999995</v>
      </c>
      <c r="E808" s="6">
        <v>725.41</v>
      </c>
      <c r="F808" s="3">
        <v>756.13</v>
      </c>
      <c r="G808" s="3">
        <v>37697.199999999997</v>
      </c>
    </row>
    <row r="809" spans="1:7" x14ac:dyDescent="0.2">
      <c r="A809" s="3">
        <v>2012</v>
      </c>
      <c r="B809" s="3">
        <v>425</v>
      </c>
      <c r="C809" s="3" t="str">
        <f>VLOOKUP(B809, '[1]DAR area codes'!A:B,2,FALSE)</f>
        <v>oahu</v>
      </c>
      <c r="D809" s="4">
        <v>1017.7</v>
      </c>
      <c r="E809" s="6"/>
      <c r="F809" s="3">
        <v>0</v>
      </c>
      <c r="G809" s="3">
        <v>202201.56</v>
      </c>
    </row>
    <row r="810" spans="1:7" x14ac:dyDescent="0.2">
      <c r="A810" s="3">
        <v>2012</v>
      </c>
      <c r="B810" s="3">
        <v>426</v>
      </c>
      <c r="C810" s="3" t="str">
        <f>VLOOKUP(B810, '[1]DAR area codes'!A:B,2,FALSE)</f>
        <v>oahu</v>
      </c>
      <c r="D810" s="4">
        <v>282.5</v>
      </c>
      <c r="E810" s="6"/>
      <c r="F810" s="3">
        <v>0</v>
      </c>
      <c r="G810" s="3">
        <v>159419.75</v>
      </c>
    </row>
    <row r="811" spans="1:7" x14ac:dyDescent="0.2">
      <c r="A811" s="3">
        <v>2012</v>
      </c>
      <c r="B811" s="3">
        <v>427</v>
      </c>
      <c r="C811" s="3" t="str">
        <f>VLOOKUP(B811, '[1]DAR area codes'!A:B,2,FALSE)</f>
        <v>oahu</v>
      </c>
      <c r="D811" s="4">
        <v>288.5</v>
      </c>
      <c r="E811" s="6"/>
      <c r="F811" s="3">
        <v>0</v>
      </c>
      <c r="G811" s="3">
        <v>172618.2</v>
      </c>
    </row>
    <row r="812" spans="1:7" x14ac:dyDescent="0.2">
      <c r="A812" s="3">
        <v>2012</v>
      </c>
      <c r="B812" s="3">
        <v>428</v>
      </c>
      <c r="C812" s="3" t="str">
        <f>VLOOKUP(B812, '[1]DAR area codes'!A:B,2,FALSE)</f>
        <v>oahu</v>
      </c>
      <c r="E812" s="6"/>
      <c r="F812" s="3">
        <v>0</v>
      </c>
      <c r="G812" s="3">
        <v>21726</v>
      </c>
    </row>
    <row r="813" spans="1:7" x14ac:dyDescent="0.2">
      <c r="A813" s="3">
        <v>2012</v>
      </c>
      <c r="B813" s="3">
        <v>429</v>
      </c>
      <c r="C813" s="3" t="str">
        <f>VLOOKUP(B813, '[1]DAR area codes'!A:B,2,FALSE)</f>
        <v>oahu</v>
      </c>
      <c r="D813" s="4">
        <v>1876</v>
      </c>
      <c r="E813" s="6">
        <v>1208.5</v>
      </c>
      <c r="F813" s="3">
        <v>136.5</v>
      </c>
      <c r="G813" s="3">
        <v>12504.5</v>
      </c>
    </row>
    <row r="814" spans="1:7" x14ac:dyDescent="0.2">
      <c r="A814" s="3">
        <v>2012</v>
      </c>
      <c r="B814" s="3">
        <v>500</v>
      </c>
      <c r="C814" s="3" t="str">
        <f>VLOOKUP(B814, '[1]DAR area codes'!A:B,2,FALSE)</f>
        <v>kauai</v>
      </c>
      <c r="D814" s="4">
        <v>1878</v>
      </c>
      <c r="E814" s="6">
        <v>5015.75</v>
      </c>
      <c r="F814" s="3">
        <v>21724.1</v>
      </c>
      <c r="G814" s="3">
        <v>21114.2</v>
      </c>
    </row>
    <row r="815" spans="1:7" x14ac:dyDescent="0.2">
      <c r="A815" s="3">
        <v>2012</v>
      </c>
      <c r="B815" s="3">
        <v>501</v>
      </c>
      <c r="C815" s="3" t="str">
        <f>VLOOKUP(B815, '[1]DAR area codes'!A:B,2,FALSE)</f>
        <v>kauai</v>
      </c>
      <c r="D815" s="4">
        <v>855.9</v>
      </c>
      <c r="E815" s="6">
        <v>1817.14</v>
      </c>
      <c r="F815" s="3">
        <v>15042.2</v>
      </c>
      <c r="G815" s="3">
        <v>4198.3999999999996</v>
      </c>
    </row>
    <row r="816" spans="1:7" x14ac:dyDescent="0.2">
      <c r="A816" s="3">
        <v>2012</v>
      </c>
      <c r="B816" s="3">
        <v>502</v>
      </c>
      <c r="C816" s="3" t="str">
        <f>VLOOKUP(B816, '[1]DAR area codes'!A:B,2,FALSE)</f>
        <v>kauai</v>
      </c>
      <c r="D816" s="4">
        <v>160</v>
      </c>
      <c r="E816" s="6"/>
      <c r="F816" s="3">
        <v>0</v>
      </c>
      <c r="G816" s="3">
        <v>2383</v>
      </c>
    </row>
    <row r="817" spans="1:7" x14ac:dyDescent="0.2">
      <c r="A817" s="3">
        <v>2012</v>
      </c>
      <c r="B817" s="3">
        <v>503</v>
      </c>
      <c r="C817" s="3" t="str">
        <f>VLOOKUP(B817, '[1]DAR area codes'!A:B,2,FALSE)</f>
        <v>kauai</v>
      </c>
      <c r="D817" s="4">
        <v>176.5</v>
      </c>
      <c r="E817" s="6"/>
      <c r="F817" s="3">
        <v>1127.0999999999999</v>
      </c>
      <c r="G817" s="3">
        <v>3043.5</v>
      </c>
    </row>
    <row r="818" spans="1:7" x14ac:dyDescent="0.2">
      <c r="A818" s="3">
        <v>2012</v>
      </c>
      <c r="B818" s="3">
        <v>504</v>
      </c>
      <c r="C818" s="3" t="str">
        <f>VLOOKUP(B818, '[1]DAR area codes'!A:B,2,FALSE)</f>
        <v>kauai</v>
      </c>
      <c r="D818" s="4">
        <v>1157.3</v>
      </c>
      <c r="E818" s="6">
        <v>3414.4</v>
      </c>
      <c r="F818" s="3">
        <v>18017.350000000002</v>
      </c>
      <c r="G818" s="3">
        <v>39485.399999999994</v>
      </c>
    </row>
    <row r="819" spans="1:7" x14ac:dyDescent="0.2">
      <c r="A819" s="3">
        <v>2012</v>
      </c>
      <c r="B819" s="3">
        <v>505</v>
      </c>
      <c r="C819" s="3" t="str">
        <f>VLOOKUP(B819, '[1]DAR area codes'!A:B,2,FALSE)</f>
        <v>kauai</v>
      </c>
      <c r="D819" s="4">
        <v>1623.1</v>
      </c>
      <c r="E819" s="6">
        <v>11195.5</v>
      </c>
      <c r="F819" s="3">
        <v>642.20000000000005</v>
      </c>
      <c r="G819" s="3">
        <v>27230.6</v>
      </c>
    </row>
    <row r="820" spans="1:7" x14ac:dyDescent="0.2">
      <c r="A820" s="3">
        <v>2012</v>
      </c>
      <c r="B820" s="3">
        <v>506</v>
      </c>
      <c r="C820" s="3" t="str">
        <f>VLOOKUP(B820, '[1]DAR area codes'!A:B,2,FALSE)</f>
        <v>kauai</v>
      </c>
      <c r="D820" s="4">
        <v>3771.7</v>
      </c>
      <c r="E820" s="6">
        <v>3783</v>
      </c>
      <c r="F820" s="3">
        <v>4936.93</v>
      </c>
      <c r="G820" s="3">
        <v>3377.5</v>
      </c>
    </row>
    <row r="821" spans="1:7" x14ac:dyDescent="0.2">
      <c r="A821" s="3">
        <v>2012</v>
      </c>
      <c r="B821" s="3">
        <v>507</v>
      </c>
      <c r="C821" s="3" t="str">
        <f>VLOOKUP(B821, '[1]DAR area codes'!A:B,2,FALSE)</f>
        <v>kauai</v>
      </c>
      <c r="E821" s="6"/>
      <c r="F821" s="3">
        <v>0</v>
      </c>
      <c r="G821" s="3">
        <v>0</v>
      </c>
    </row>
    <row r="822" spans="1:7" x14ac:dyDescent="0.2">
      <c r="A822" s="3">
        <v>2012</v>
      </c>
      <c r="B822" s="3">
        <v>508</v>
      </c>
      <c r="C822" s="3" t="str">
        <f>VLOOKUP(B822, '[1]DAR area codes'!A:B,2,FALSE)</f>
        <v>kauai</v>
      </c>
      <c r="E822" s="6">
        <v>6779</v>
      </c>
      <c r="F822" s="3">
        <v>0</v>
      </c>
      <c r="G822" s="3">
        <v>55369.7</v>
      </c>
    </row>
    <row r="823" spans="1:7" x14ac:dyDescent="0.2">
      <c r="A823" s="3">
        <v>2012</v>
      </c>
      <c r="B823" s="3">
        <v>520</v>
      </c>
      <c r="C823" s="3" t="str">
        <f>VLOOKUP(B823, '[1]DAR area codes'!A:B,2,FALSE)</f>
        <v>kauai</v>
      </c>
      <c r="D823" s="4">
        <v>854</v>
      </c>
      <c r="E823" s="6">
        <v>4774.2</v>
      </c>
      <c r="F823" s="3">
        <v>8018.0700000000006</v>
      </c>
      <c r="G823" s="3">
        <v>299163.33</v>
      </c>
    </row>
    <row r="824" spans="1:7" x14ac:dyDescent="0.2">
      <c r="A824" s="3">
        <v>2012</v>
      </c>
      <c r="B824" s="3">
        <v>521</v>
      </c>
      <c r="C824" s="3" t="str">
        <f>VLOOKUP(B824, '[1]DAR area codes'!A:B,2,FALSE)</f>
        <v>kauai</v>
      </c>
      <c r="D824" s="4">
        <v>1280.78</v>
      </c>
      <c r="E824" s="6">
        <v>2398.12</v>
      </c>
      <c r="F824" s="3">
        <v>151</v>
      </c>
      <c r="G824" s="3">
        <v>26947.8</v>
      </c>
    </row>
    <row r="825" spans="1:7" x14ac:dyDescent="0.2">
      <c r="A825" s="3">
        <v>2012</v>
      </c>
      <c r="B825" s="3">
        <v>522</v>
      </c>
      <c r="C825" s="3" t="str">
        <f>VLOOKUP(B825, '[1]DAR area codes'!A:B,2,FALSE)</f>
        <v>kauai</v>
      </c>
      <c r="E825" s="6"/>
      <c r="F825" s="3">
        <v>0</v>
      </c>
      <c r="G825" s="3">
        <v>5121.1000000000004</v>
      </c>
    </row>
    <row r="826" spans="1:7" x14ac:dyDescent="0.2">
      <c r="A826" s="3">
        <v>2012</v>
      </c>
      <c r="B826" s="3">
        <v>523</v>
      </c>
      <c r="C826" s="3" t="str">
        <f>VLOOKUP(B826, '[1]DAR area codes'!A:B,2,FALSE)</f>
        <v>kauai</v>
      </c>
      <c r="D826" s="4">
        <v>603.70000000000005</v>
      </c>
      <c r="E826" s="6">
        <v>668.4</v>
      </c>
      <c r="F826" s="3">
        <v>0</v>
      </c>
      <c r="G826" s="3">
        <v>90106.39999999998</v>
      </c>
    </row>
    <row r="827" spans="1:7" x14ac:dyDescent="0.2">
      <c r="A827" s="3">
        <v>2012</v>
      </c>
      <c r="B827" s="3">
        <v>524</v>
      </c>
      <c r="C827" s="3" t="str">
        <f>VLOOKUP(B827, '[1]DAR area codes'!A:B,2,FALSE)</f>
        <v>kauai</v>
      </c>
      <c r="D827" s="4">
        <v>1910.1</v>
      </c>
      <c r="E827" s="6">
        <v>2487.3000000000002</v>
      </c>
      <c r="F827" s="3">
        <v>1057.3000000000002</v>
      </c>
      <c r="G827" s="3">
        <v>138206.70000000001</v>
      </c>
    </row>
    <row r="828" spans="1:7" x14ac:dyDescent="0.2">
      <c r="A828" s="3">
        <v>2012</v>
      </c>
      <c r="B828" s="3">
        <v>525</v>
      </c>
      <c r="C828" s="3" t="str">
        <f>VLOOKUP(B828, '[1]DAR area codes'!A:B,2,FALSE)</f>
        <v>kauai</v>
      </c>
      <c r="D828" s="4">
        <v>310.5</v>
      </c>
      <c r="E828" s="6"/>
      <c r="F828" s="3">
        <v>0</v>
      </c>
      <c r="G828" s="3">
        <v>14082.8</v>
      </c>
    </row>
    <row r="829" spans="1:7" x14ac:dyDescent="0.2">
      <c r="A829" s="3">
        <v>2012</v>
      </c>
      <c r="B829" s="3">
        <v>526</v>
      </c>
      <c r="C829" s="3" t="str">
        <f>VLOOKUP(B829, '[1]DAR area codes'!A:B,2,FALSE)</f>
        <v>kauai</v>
      </c>
      <c r="D829" s="4">
        <v>2273.5</v>
      </c>
      <c r="E829" s="6">
        <v>4096</v>
      </c>
      <c r="F829" s="3">
        <v>0</v>
      </c>
      <c r="G829" s="3">
        <v>26159.200000000001</v>
      </c>
    </row>
    <row r="830" spans="1:7" x14ac:dyDescent="0.2">
      <c r="A830" s="3">
        <v>2012</v>
      </c>
      <c r="B830" s="3">
        <v>527</v>
      </c>
      <c r="C830" s="3" t="str">
        <f>VLOOKUP(B830, '[1]DAR area codes'!A:B,2,FALSE)</f>
        <v>kauai</v>
      </c>
      <c r="E830" s="6"/>
      <c r="F830" s="3">
        <v>0</v>
      </c>
      <c r="G830" s="3">
        <v>13564</v>
      </c>
    </row>
    <row r="831" spans="1:7" x14ac:dyDescent="0.2">
      <c r="A831" s="3">
        <v>2012</v>
      </c>
      <c r="B831" s="3">
        <v>528</v>
      </c>
      <c r="C831" s="3" t="str">
        <f>VLOOKUP(B831, '[1]DAR area codes'!A:B,2,FALSE)</f>
        <v>kauai</v>
      </c>
      <c r="E831" s="6"/>
      <c r="F831" s="3">
        <v>0</v>
      </c>
      <c r="G831" s="3">
        <v>18042.400000000001</v>
      </c>
    </row>
    <row r="832" spans="1:7" x14ac:dyDescent="0.2">
      <c r="A832" s="3">
        <v>2011</v>
      </c>
      <c r="B832" s="3">
        <v>100</v>
      </c>
      <c r="C832" s="3" t="str">
        <f>VLOOKUP(B832, '[1]DAR area codes'!A:B,2,FALSE)</f>
        <v>hawaii</v>
      </c>
      <c r="D832" s="4">
        <v>551.1</v>
      </c>
      <c r="E832" s="6">
        <v>982.9</v>
      </c>
      <c r="F832" s="3">
        <v>11325.37</v>
      </c>
      <c r="G832" s="3">
        <v>38494.699999999997</v>
      </c>
    </row>
    <row r="833" spans="1:7" x14ac:dyDescent="0.2">
      <c r="A833" s="3">
        <v>2011</v>
      </c>
      <c r="B833" s="3">
        <v>101</v>
      </c>
      <c r="C833" s="3" t="str">
        <f>VLOOKUP(B833, '[1]DAR area codes'!A:B,2,FALSE)</f>
        <v>hawaii</v>
      </c>
      <c r="D833" s="4">
        <v>1579.6</v>
      </c>
      <c r="E833" s="6">
        <v>2329.7199999999998</v>
      </c>
      <c r="F833" s="3">
        <v>131052.25000000001</v>
      </c>
      <c r="G833" s="3">
        <v>145386.5</v>
      </c>
    </row>
    <row r="834" spans="1:7" x14ac:dyDescent="0.2">
      <c r="A834" s="3">
        <v>2011</v>
      </c>
      <c r="B834" s="3">
        <v>102</v>
      </c>
      <c r="C834" s="3" t="str">
        <f>VLOOKUP(B834, '[1]DAR area codes'!A:B,2,FALSE)</f>
        <v>hawaii</v>
      </c>
      <c r="D834" s="4">
        <v>2295</v>
      </c>
      <c r="E834" s="6">
        <v>7402</v>
      </c>
      <c r="F834" s="3">
        <v>10469.469999999999</v>
      </c>
      <c r="G834" s="3">
        <v>28784.100000000002</v>
      </c>
    </row>
    <row r="835" spans="1:7" x14ac:dyDescent="0.2">
      <c r="A835" s="3">
        <v>2011</v>
      </c>
      <c r="B835" s="3">
        <v>103</v>
      </c>
      <c r="C835" s="3" t="str">
        <f>VLOOKUP(B835, '[1]DAR area codes'!A:B,2,FALSE)</f>
        <v>hawaii</v>
      </c>
      <c r="D835" s="4">
        <v>1066.5</v>
      </c>
      <c r="E835" s="6"/>
      <c r="F835" s="3">
        <v>1955.3</v>
      </c>
      <c r="G835" s="3">
        <v>1723.5</v>
      </c>
    </row>
    <row r="836" spans="1:7" x14ac:dyDescent="0.2">
      <c r="A836" s="3">
        <v>2011</v>
      </c>
      <c r="B836" s="3">
        <v>104</v>
      </c>
      <c r="C836" s="3" t="str">
        <f>VLOOKUP(B836, '[1]DAR area codes'!A:B,2,FALSE)</f>
        <v>hawaii</v>
      </c>
      <c r="D836" s="4">
        <v>204.7</v>
      </c>
      <c r="E836" s="6"/>
      <c r="F836" s="3">
        <v>1858.1</v>
      </c>
      <c r="G836" s="3">
        <v>297.60000000000002</v>
      </c>
    </row>
    <row r="837" spans="1:7" x14ac:dyDescent="0.2">
      <c r="A837" s="3">
        <v>2011</v>
      </c>
      <c r="B837" s="3">
        <v>105</v>
      </c>
      <c r="C837" s="3" t="str">
        <f>VLOOKUP(B837, '[1]DAR area codes'!A:B,2,FALSE)</f>
        <v>hawaii</v>
      </c>
      <c r="D837" s="4">
        <v>3628.1</v>
      </c>
      <c r="E837" s="6">
        <v>236.4</v>
      </c>
      <c r="F837" s="3">
        <v>11032.59</v>
      </c>
      <c r="G837" s="3">
        <v>24189.100000000002</v>
      </c>
    </row>
    <row r="838" spans="1:7" x14ac:dyDescent="0.2">
      <c r="A838" s="3">
        <v>2011</v>
      </c>
      <c r="B838" s="3">
        <v>106</v>
      </c>
      <c r="C838" s="3" t="str">
        <f>VLOOKUP(B838, '[1]DAR area codes'!A:B,2,FALSE)</f>
        <v>hawaii</v>
      </c>
      <c r="D838" s="4">
        <v>5314.06</v>
      </c>
      <c r="E838" s="6">
        <v>2242.3000000000002</v>
      </c>
      <c r="F838" s="3">
        <v>34601.1</v>
      </c>
      <c r="G838" s="3">
        <v>68395.850000000006</v>
      </c>
    </row>
    <row r="839" spans="1:7" x14ac:dyDescent="0.2">
      <c r="A839" s="3">
        <v>2011</v>
      </c>
      <c r="B839" s="3">
        <v>107</v>
      </c>
      <c r="C839" s="3" t="str">
        <f>VLOOKUP(B839, '[1]DAR area codes'!A:B,2,FALSE)</f>
        <v>hawaii</v>
      </c>
      <c r="D839" s="4">
        <v>1506.95</v>
      </c>
      <c r="E839" s="6">
        <v>263.3</v>
      </c>
      <c r="F839" s="3">
        <v>5554.75</v>
      </c>
      <c r="G839" s="3">
        <v>19113.650000000001</v>
      </c>
    </row>
    <row r="840" spans="1:7" x14ac:dyDescent="0.2">
      <c r="A840" s="3">
        <v>2011</v>
      </c>
      <c r="B840" s="3">
        <v>108</v>
      </c>
      <c r="C840" s="3" t="str">
        <f>VLOOKUP(B840, '[1]DAR area codes'!A:B,2,FALSE)</f>
        <v>hawaii</v>
      </c>
      <c r="D840" s="4">
        <v>197.8</v>
      </c>
      <c r="E840" s="6">
        <v>861.4</v>
      </c>
      <c r="F840" s="3">
        <v>2314.4499999999998</v>
      </c>
      <c r="G840" s="3">
        <v>17183.099999999999</v>
      </c>
    </row>
    <row r="841" spans="1:7" x14ac:dyDescent="0.2">
      <c r="A841" s="3">
        <v>2011</v>
      </c>
      <c r="B841" s="3">
        <v>120</v>
      </c>
      <c r="C841" s="3" t="str">
        <f>VLOOKUP(B841, '[1]DAR area codes'!A:B,2,FALSE)</f>
        <v>hawaii</v>
      </c>
      <c r="D841" s="4">
        <v>1367.1</v>
      </c>
      <c r="E841" s="6">
        <v>1264.8</v>
      </c>
      <c r="F841" s="3">
        <v>420.65000000000003</v>
      </c>
      <c r="G841" s="3">
        <v>53144.7</v>
      </c>
    </row>
    <row r="842" spans="1:7" x14ac:dyDescent="0.2">
      <c r="A842" s="3">
        <v>2011</v>
      </c>
      <c r="B842" s="3">
        <v>121</v>
      </c>
      <c r="C842" s="3" t="str">
        <f>VLOOKUP(B842, '[1]DAR area codes'!A:B,2,FALSE)</f>
        <v>hawaii</v>
      </c>
      <c r="D842" s="4">
        <v>3093.71</v>
      </c>
      <c r="E842" s="6">
        <v>2902.9</v>
      </c>
      <c r="F842" s="3">
        <v>39312.050000000003</v>
      </c>
      <c r="G842" s="3">
        <v>773637.61</v>
      </c>
    </row>
    <row r="843" spans="1:7" x14ac:dyDescent="0.2">
      <c r="A843" s="3">
        <v>2011</v>
      </c>
      <c r="B843" s="3">
        <v>122</v>
      </c>
      <c r="C843" s="3" t="str">
        <f>VLOOKUP(B843, '[1]DAR area codes'!A:B,2,FALSE)</f>
        <v>hawaii</v>
      </c>
      <c r="D843" s="4">
        <v>5438.52</v>
      </c>
      <c r="E843" s="6">
        <v>7224.08</v>
      </c>
      <c r="F843" s="3">
        <v>2267.6</v>
      </c>
      <c r="G843" s="3">
        <v>114671.28</v>
      </c>
    </row>
    <row r="844" spans="1:7" x14ac:dyDescent="0.2">
      <c r="A844" s="3">
        <v>2011</v>
      </c>
      <c r="B844" s="3">
        <v>123</v>
      </c>
      <c r="C844" s="3" t="str">
        <f>VLOOKUP(B844, '[1]DAR area codes'!A:B,2,FALSE)</f>
        <v>hawaii</v>
      </c>
      <c r="E844" s="6"/>
      <c r="F844" s="3">
        <v>0</v>
      </c>
      <c r="G844" s="3">
        <v>1188.05</v>
      </c>
    </row>
    <row r="845" spans="1:7" x14ac:dyDescent="0.2">
      <c r="A845" s="3">
        <v>2011</v>
      </c>
      <c r="B845" s="3">
        <v>124</v>
      </c>
      <c r="C845" s="3" t="str">
        <f>VLOOKUP(B845, '[1]DAR area codes'!A:B,2,FALSE)</f>
        <v>hawaii</v>
      </c>
      <c r="D845" s="4">
        <v>183.5</v>
      </c>
      <c r="E845" s="6"/>
      <c r="F845" s="3">
        <v>0</v>
      </c>
      <c r="G845" s="3">
        <v>29883.1</v>
      </c>
    </row>
    <row r="846" spans="1:7" x14ac:dyDescent="0.2">
      <c r="A846" s="3">
        <v>2011</v>
      </c>
      <c r="B846" s="3">
        <v>125</v>
      </c>
      <c r="C846" s="3" t="str">
        <f>VLOOKUP(B846, '[1]DAR area codes'!A:B,2,FALSE)</f>
        <v>hawaii</v>
      </c>
      <c r="D846" s="4">
        <v>1312</v>
      </c>
      <c r="E846" s="6">
        <v>587.20000000000005</v>
      </c>
      <c r="F846" s="3">
        <v>1202.6299999999999</v>
      </c>
      <c r="G846" s="3">
        <v>290663.45</v>
      </c>
    </row>
    <row r="847" spans="1:7" x14ac:dyDescent="0.2">
      <c r="A847" s="3">
        <v>2011</v>
      </c>
      <c r="B847" s="3">
        <v>126</v>
      </c>
      <c r="C847" s="3" t="str">
        <f>VLOOKUP(B847, '[1]DAR area codes'!A:B,2,FALSE)</f>
        <v>hawaii</v>
      </c>
      <c r="D847" s="4">
        <v>805.9</v>
      </c>
      <c r="E847" s="6">
        <v>142.80000000000001</v>
      </c>
      <c r="F847" s="3">
        <v>1599.31</v>
      </c>
      <c r="G847" s="3">
        <v>295956.47999999998</v>
      </c>
    </row>
    <row r="848" spans="1:7" x14ac:dyDescent="0.2">
      <c r="A848" s="3">
        <v>2011</v>
      </c>
      <c r="B848" s="3">
        <v>127</v>
      </c>
      <c r="C848" s="3" t="str">
        <f>VLOOKUP(B848, '[1]DAR area codes'!A:B,2,FALSE)</f>
        <v>hawaii</v>
      </c>
      <c r="D848" s="4">
        <v>3582</v>
      </c>
      <c r="E848" s="6"/>
      <c r="F848" s="3">
        <v>0</v>
      </c>
      <c r="G848" s="3">
        <v>41332.400000000001</v>
      </c>
    </row>
    <row r="849" spans="1:7" x14ac:dyDescent="0.2">
      <c r="A849" s="3">
        <v>2011</v>
      </c>
      <c r="B849" s="3">
        <v>128</v>
      </c>
      <c r="C849" s="3" t="str">
        <f>VLOOKUP(B849, '[1]DAR area codes'!A:B,2,FALSE)</f>
        <v>hawaii</v>
      </c>
      <c r="D849" s="4">
        <v>104</v>
      </c>
      <c r="E849" s="6"/>
      <c r="F849" s="3">
        <v>0</v>
      </c>
      <c r="G849" s="3">
        <v>14204.5</v>
      </c>
    </row>
    <row r="850" spans="1:7" x14ac:dyDescent="0.2">
      <c r="A850" s="3">
        <v>2011</v>
      </c>
      <c r="B850" s="3">
        <v>300</v>
      </c>
      <c r="C850" s="3" t="str">
        <f>VLOOKUP(B850, '[1]DAR area codes'!A:B,2,FALSE)</f>
        <v>maui</v>
      </c>
      <c r="D850" s="4">
        <v>18.8</v>
      </c>
      <c r="E850" s="6">
        <v>5564.5</v>
      </c>
      <c r="F850" s="3">
        <v>53068.9</v>
      </c>
      <c r="G850" s="3">
        <v>3501.7000000000003</v>
      </c>
    </row>
    <row r="851" spans="1:7" x14ac:dyDescent="0.2">
      <c r="A851" s="3">
        <v>2011</v>
      </c>
      <c r="B851" s="3">
        <v>301</v>
      </c>
      <c r="C851" s="3" t="str">
        <f>VLOOKUP(B851, '[1]DAR area codes'!A:B,2,FALSE)</f>
        <v>maui</v>
      </c>
      <c r="D851" s="4">
        <v>156.19999999999999</v>
      </c>
      <c r="E851" s="6">
        <v>1101</v>
      </c>
      <c r="F851" s="3">
        <v>4664.45</v>
      </c>
      <c r="G851" s="3">
        <v>128.80000000000001</v>
      </c>
    </row>
    <row r="852" spans="1:7" x14ac:dyDescent="0.2">
      <c r="A852" s="3">
        <v>2011</v>
      </c>
      <c r="B852" s="3">
        <v>302</v>
      </c>
      <c r="C852" s="3" t="str">
        <f>VLOOKUP(B852, '[1]DAR area codes'!A:B,2,FALSE)</f>
        <v>maui</v>
      </c>
      <c r="D852" s="4">
        <v>991.8</v>
      </c>
      <c r="E852" s="6">
        <v>518.5</v>
      </c>
      <c r="F852" s="3">
        <v>33339.070000000007</v>
      </c>
      <c r="G852" s="3">
        <v>1263.8</v>
      </c>
    </row>
    <row r="853" spans="1:7" x14ac:dyDescent="0.2">
      <c r="A853" s="3">
        <v>2011</v>
      </c>
      <c r="B853" s="3">
        <v>303</v>
      </c>
      <c r="C853" s="3" t="str">
        <f>VLOOKUP(B853, '[1]DAR area codes'!A:B,2,FALSE)</f>
        <v>maui</v>
      </c>
      <c r="D853" s="4">
        <v>866.5</v>
      </c>
      <c r="E853" s="6">
        <v>384.75</v>
      </c>
      <c r="F853" s="3">
        <v>5720.8499999999995</v>
      </c>
      <c r="G853" s="3">
        <v>1699.1</v>
      </c>
    </row>
    <row r="854" spans="1:7" x14ac:dyDescent="0.2">
      <c r="A854" s="3">
        <v>2011</v>
      </c>
      <c r="B854" s="3">
        <v>304</v>
      </c>
      <c r="C854" s="3" t="str">
        <f>VLOOKUP(B854, '[1]DAR area codes'!A:B,2,FALSE)</f>
        <v>maui</v>
      </c>
      <c r="D854" s="4">
        <v>1686.4</v>
      </c>
      <c r="E854" s="6">
        <v>1785.4</v>
      </c>
      <c r="F854" s="3">
        <v>370.55</v>
      </c>
      <c r="G854" s="3">
        <v>997.5</v>
      </c>
    </row>
    <row r="855" spans="1:7" x14ac:dyDescent="0.2">
      <c r="A855" s="3">
        <v>2011</v>
      </c>
      <c r="B855" s="3">
        <v>305</v>
      </c>
      <c r="C855" s="3" t="str">
        <f>VLOOKUP(B855, '[1]DAR area codes'!A:B,2,FALSE)</f>
        <v>maui</v>
      </c>
      <c r="D855" s="4">
        <v>3876.39</v>
      </c>
      <c r="E855" s="6">
        <v>1557.35</v>
      </c>
      <c r="F855" s="3">
        <v>24860.15</v>
      </c>
      <c r="G855" s="3">
        <v>3560</v>
      </c>
    </row>
    <row r="856" spans="1:7" x14ac:dyDescent="0.2">
      <c r="A856" s="3">
        <v>2011</v>
      </c>
      <c r="B856" s="3">
        <v>306</v>
      </c>
      <c r="C856" s="3" t="str">
        <f>VLOOKUP(B856, '[1]DAR area codes'!A:B,2,FALSE)</f>
        <v>maui</v>
      </c>
      <c r="D856" s="4">
        <v>63</v>
      </c>
      <c r="E856" s="6"/>
      <c r="F856" s="3">
        <v>0</v>
      </c>
      <c r="G856" s="3">
        <v>935.3</v>
      </c>
    </row>
    <row r="857" spans="1:7" x14ac:dyDescent="0.2">
      <c r="A857" s="3">
        <v>2011</v>
      </c>
      <c r="B857" s="3">
        <v>307</v>
      </c>
      <c r="C857" s="3" t="str">
        <f>VLOOKUP(B857, '[1]DAR area codes'!A:B,2,FALSE)</f>
        <v>maui</v>
      </c>
      <c r="E857" s="6"/>
      <c r="F857" s="3">
        <v>0</v>
      </c>
      <c r="G857" s="3">
        <v>149</v>
      </c>
    </row>
    <row r="858" spans="1:7" x14ac:dyDescent="0.2">
      <c r="A858" s="3">
        <v>2011</v>
      </c>
      <c r="B858" s="3">
        <v>308</v>
      </c>
      <c r="C858" s="3" t="str">
        <f>VLOOKUP(B858, '[1]DAR area codes'!A:B,2,FALSE)</f>
        <v>maui</v>
      </c>
      <c r="D858" s="4">
        <v>3266</v>
      </c>
      <c r="E858" s="6">
        <v>1545.3</v>
      </c>
      <c r="F858" s="3">
        <v>806.5</v>
      </c>
      <c r="G858" s="3">
        <v>7389.1</v>
      </c>
    </row>
    <row r="859" spans="1:7" x14ac:dyDescent="0.2">
      <c r="A859" s="3">
        <v>2011</v>
      </c>
      <c r="B859" s="3">
        <v>309</v>
      </c>
      <c r="C859" s="3" t="str">
        <f>VLOOKUP(B859, '[1]DAR area codes'!A:B,2,FALSE)</f>
        <v>maui</v>
      </c>
      <c r="E859" s="6"/>
      <c r="F859" s="3">
        <v>95</v>
      </c>
      <c r="G859" s="3">
        <v>878.5</v>
      </c>
    </row>
    <row r="860" spans="1:7" x14ac:dyDescent="0.2">
      <c r="A860" s="3">
        <v>2011</v>
      </c>
      <c r="B860" s="3">
        <v>310</v>
      </c>
      <c r="C860" s="3" t="str">
        <f>VLOOKUP(B860, '[1]DAR area codes'!A:B,2,FALSE)</f>
        <v>maui</v>
      </c>
      <c r="D860" s="4">
        <v>213</v>
      </c>
      <c r="E860" s="6">
        <v>383</v>
      </c>
      <c r="F860" s="3">
        <v>1592.85</v>
      </c>
      <c r="G860" s="3">
        <v>1662</v>
      </c>
    </row>
    <row r="861" spans="1:7" x14ac:dyDescent="0.2">
      <c r="A861" s="3">
        <v>2011</v>
      </c>
      <c r="B861" s="3">
        <v>311</v>
      </c>
      <c r="C861" s="3" t="str">
        <f>VLOOKUP(B861, '[1]DAR area codes'!A:B,2,FALSE)</f>
        <v>maui</v>
      </c>
      <c r="D861" s="4">
        <v>978.7</v>
      </c>
      <c r="E861" s="6">
        <v>669.8</v>
      </c>
      <c r="F861" s="3">
        <v>4454.3500000000004</v>
      </c>
      <c r="G861" s="3">
        <v>841.5</v>
      </c>
    </row>
    <row r="862" spans="1:7" x14ac:dyDescent="0.2">
      <c r="A862" s="3">
        <v>2011</v>
      </c>
      <c r="B862" s="3">
        <v>312</v>
      </c>
      <c r="C862" s="3" t="str">
        <f>VLOOKUP(B862, '[1]DAR area codes'!A:B,2,FALSE)</f>
        <v>maui</v>
      </c>
      <c r="E862" s="6"/>
      <c r="F862" s="3">
        <v>9130</v>
      </c>
      <c r="G862" s="3">
        <v>0</v>
      </c>
    </row>
    <row r="863" spans="1:7" x14ac:dyDescent="0.2">
      <c r="A863" s="3">
        <v>2011</v>
      </c>
      <c r="B863" s="3">
        <v>313</v>
      </c>
      <c r="C863" s="3" t="str">
        <f>VLOOKUP(B863, '[1]DAR area codes'!A:B,2,FALSE)</f>
        <v>maui</v>
      </c>
      <c r="D863" s="4">
        <v>7073.4</v>
      </c>
      <c r="E863" s="6">
        <v>387.8</v>
      </c>
      <c r="F863" s="3">
        <v>229.5</v>
      </c>
      <c r="G863" s="3">
        <v>1446.3999999999999</v>
      </c>
    </row>
    <row r="864" spans="1:7" x14ac:dyDescent="0.2">
      <c r="A864" s="3">
        <v>2011</v>
      </c>
      <c r="B864" s="3">
        <v>314</v>
      </c>
      <c r="C864" s="3" t="str">
        <f>VLOOKUP(B864, '[1]DAR area codes'!A:B,2,FALSE)</f>
        <v>maui</v>
      </c>
      <c r="E864" s="6"/>
      <c r="F864" s="3">
        <v>103.5</v>
      </c>
      <c r="G864" s="3">
        <v>861</v>
      </c>
    </row>
    <row r="865" spans="1:7" x14ac:dyDescent="0.2">
      <c r="A865" s="3">
        <v>2011</v>
      </c>
      <c r="B865" s="3">
        <v>320</v>
      </c>
      <c r="C865" s="3" t="str">
        <f>VLOOKUP(B865, '[1]DAR area codes'!A:B,2,FALSE)</f>
        <v>maui</v>
      </c>
      <c r="D865" s="4">
        <v>27197.7</v>
      </c>
      <c r="E865" s="6">
        <v>10947.3</v>
      </c>
      <c r="F865" s="3">
        <v>20660.099999999999</v>
      </c>
      <c r="G865" s="3">
        <v>25560.5</v>
      </c>
    </row>
    <row r="866" spans="1:7" x14ac:dyDescent="0.2">
      <c r="A866" s="3">
        <v>2011</v>
      </c>
      <c r="B866" s="3">
        <v>321</v>
      </c>
      <c r="C866" s="3" t="str">
        <f>VLOOKUP(B866, '[1]DAR area codes'!A:B,2,FALSE)</f>
        <v>maui</v>
      </c>
      <c r="D866" s="4">
        <v>22999.49</v>
      </c>
      <c r="E866" s="6">
        <v>3692.3</v>
      </c>
      <c r="F866" s="3">
        <v>891</v>
      </c>
      <c r="G866" s="3">
        <v>8794.4</v>
      </c>
    </row>
    <row r="867" spans="1:7" x14ac:dyDescent="0.2">
      <c r="A867" s="3">
        <v>2011</v>
      </c>
      <c r="B867" s="3">
        <v>322</v>
      </c>
      <c r="C867" s="3" t="str">
        <f>VLOOKUP(B867, '[1]DAR area codes'!A:B,2,FALSE)</f>
        <v>maui</v>
      </c>
      <c r="D867" s="4">
        <v>2758.7</v>
      </c>
      <c r="E867" s="6">
        <v>428.5</v>
      </c>
      <c r="F867" s="3">
        <v>0</v>
      </c>
      <c r="G867" s="3">
        <v>38466.1</v>
      </c>
    </row>
    <row r="868" spans="1:7" x14ac:dyDescent="0.2">
      <c r="A868" s="3">
        <v>2011</v>
      </c>
      <c r="B868" s="3">
        <v>323</v>
      </c>
      <c r="C868" s="3" t="str">
        <f>VLOOKUP(B868, '[1]DAR area codes'!A:B,2,FALSE)</f>
        <v>maui</v>
      </c>
      <c r="D868" s="4">
        <v>882</v>
      </c>
      <c r="E868" s="6">
        <v>219.3</v>
      </c>
      <c r="F868" s="3">
        <v>0</v>
      </c>
      <c r="G868" s="3">
        <v>105705.34</v>
      </c>
    </row>
    <row r="869" spans="1:7" x14ac:dyDescent="0.2">
      <c r="A869" s="3">
        <v>2011</v>
      </c>
      <c r="B869" s="3">
        <v>324</v>
      </c>
      <c r="C869" s="3" t="str">
        <f>VLOOKUP(B869, '[1]DAR area codes'!A:B,2,FALSE)</f>
        <v>maui</v>
      </c>
      <c r="E869" s="6">
        <v>1520.2</v>
      </c>
      <c r="F869" s="3">
        <v>0</v>
      </c>
      <c r="G869" s="3">
        <v>68145.36</v>
      </c>
    </row>
    <row r="870" spans="1:7" x14ac:dyDescent="0.2">
      <c r="A870" s="3">
        <v>2011</v>
      </c>
      <c r="B870" s="3">
        <v>325</v>
      </c>
      <c r="C870" s="3" t="str">
        <f>VLOOKUP(B870, '[1]DAR area codes'!A:B,2,FALSE)</f>
        <v>maui</v>
      </c>
      <c r="D870" s="4">
        <v>3184.7</v>
      </c>
      <c r="E870" s="6"/>
      <c r="F870" s="3">
        <v>0</v>
      </c>
      <c r="G870" s="3">
        <v>6522.6500000000005</v>
      </c>
    </row>
    <row r="871" spans="1:7" x14ac:dyDescent="0.2">
      <c r="A871" s="3">
        <v>2011</v>
      </c>
      <c r="B871" s="3">
        <v>326</v>
      </c>
      <c r="C871" s="3" t="str">
        <f>VLOOKUP(B871, '[1]DAR area codes'!A:B,2,FALSE)</f>
        <v>maui</v>
      </c>
      <c r="E871" s="6"/>
      <c r="F871" s="3">
        <v>0</v>
      </c>
      <c r="G871" s="3">
        <v>29972.100000000002</v>
      </c>
    </row>
    <row r="872" spans="1:7" x14ac:dyDescent="0.2">
      <c r="A872" s="3">
        <v>2011</v>
      </c>
      <c r="B872" s="3">
        <v>327</v>
      </c>
      <c r="C872" s="3" t="str">
        <f>VLOOKUP(B872, '[1]DAR area codes'!A:B,2,FALSE)</f>
        <v>maui</v>
      </c>
      <c r="D872" s="4">
        <v>11773.25</v>
      </c>
      <c r="E872" s="6">
        <v>2409.4</v>
      </c>
      <c r="F872" s="3">
        <v>0</v>
      </c>
      <c r="G872" s="3">
        <v>24074.7</v>
      </c>
    </row>
    <row r="873" spans="1:7" x14ac:dyDescent="0.2">
      <c r="A873" s="3">
        <v>2011</v>
      </c>
      <c r="B873" s="3">
        <v>328</v>
      </c>
      <c r="C873" s="3" t="str">
        <f>VLOOKUP(B873, '[1]DAR area codes'!A:B,2,FALSE)</f>
        <v>maui</v>
      </c>
      <c r="D873" s="4">
        <v>566</v>
      </c>
      <c r="E873" s="6">
        <v>534.5</v>
      </c>
      <c r="F873" s="3">
        <v>169</v>
      </c>
      <c r="G873" s="3">
        <v>66672.84</v>
      </c>
    </row>
    <row r="874" spans="1:7" x14ac:dyDescent="0.2">
      <c r="A874" s="3">
        <v>2011</v>
      </c>
      <c r="B874" s="3">
        <v>331</v>
      </c>
      <c r="C874" s="3" t="str">
        <f>VLOOKUP(B874, '[1]DAR area codes'!A:B,2,FALSE)</f>
        <v>maui</v>
      </c>
      <c r="D874" s="4">
        <v>27833.13</v>
      </c>
      <c r="E874" s="6">
        <v>46047.66</v>
      </c>
      <c r="F874" s="3">
        <v>1519.24</v>
      </c>
      <c r="G874" s="3">
        <v>22174.2</v>
      </c>
    </row>
    <row r="875" spans="1:7" x14ac:dyDescent="0.2">
      <c r="A875" s="3">
        <v>2011</v>
      </c>
      <c r="B875" s="3">
        <v>332</v>
      </c>
      <c r="C875" s="3" t="str">
        <f>VLOOKUP(B875, '[1]DAR area codes'!A:B,2,FALSE)</f>
        <v>maui</v>
      </c>
      <c r="D875" s="4">
        <v>1237.5</v>
      </c>
      <c r="E875" s="6"/>
      <c r="F875" s="3">
        <v>0</v>
      </c>
      <c r="G875" s="3">
        <v>2370</v>
      </c>
    </row>
    <row r="876" spans="1:7" x14ac:dyDescent="0.2">
      <c r="A876" s="3">
        <v>2011</v>
      </c>
      <c r="B876" s="3">
        <v>333</v>
      </c>
      <c r="C876" s="3" t="str">
        <f>VLOOKUP(B876, '[1]DAR area codes'!A:B,2,FALSE)</f>
        <v>maui</v>
      </c>
      <c r="D876" s="4">
        <v>1068.5999999999999</v>
      </c>
      <c r="E876" s="6"/>
      <c r="F876" s="3">
        <v>0</v>
      </c>
      <c r="G876" s="3">
        <v>1300.4000000000001</v>
      </c>
    </row>
    <row r="877" spans="1:7" x14ac:dyDescent="0.2">
      <c r="A877" s="3">
        <v>2011</v>
      </c>
      <c r="B877" s="3">
        <v>400</v>
      </c>
      <c r="C877" s="3" t="str">
        <f>VLOOKUP(B877, '[1]DAR area codes'!A:B,2,FALSE)</f>
        <v>oahu</v>
      </c>
      <c r="D877" s="4">
        <v>97.71</v>
      </c>
      <c r="E877" s="6"/>
      <c r="F877" s="3">
        <v>27102.090000000004</v>
      </c>
      <c r="G877" s="3">
        <v>1052</v>
      </c>
    </row>
    <row r="878" spans="1:7" x14ac:dyDescent="0.2">
      <c r="A878" s="3">
        <v>2011</v>
      </c>
      <c r="B878" s="3">
        <v>401</v>
      </c>
      <c r="C878" s="3" t="str">
        <f>VLOOKUP(B878, '[1]DAR area codes'!A:B,2,FALSE)</f>
        <v>oahu</v>
      </c>
      <c r="D878" s="4">
        <v>176.35</v>
      </c>
      <c r="E878" s="6">
        <v>2855.8</v>
      </c>
      <c r="F878" s="3">
        <v>51808.409999999996</v>
      </c>
      <c r="G878" s="3">
        <v>4687.34</v>
      </c>
    </row>
    <row r="879" spans="1:7" x14ac:dyDescent="0.2">
      <c r="A879" s="3">
        <v>2011</v>
      </c>
      <c r="B879" s="3">
        <v>402</v>
      </c>
      <c r="C879" s="3" t="str">
        <f>VLOOKUP(B879, '[1]DAR area codes'!A:B,2,FALSE)</f>
        <v>oahu</v>
      </c>
      <c r="D879" s="4">
        <v>193.25</v>
      </c>
      <c r="E879" s="6">
        <v>525.30999999999995</v>
      </c>
      <c r="F879" s="3">
        <v>54512.46</v>
      </c>
      <c r="G879" s="3">
        <v>1023.19</v>
      </c>
    </row>
    <row r="880" spans="1:7" x14ac:dyDescent="0.2">
      <c r="A880" s="3">
        <v>2011</v>
      </c>
      <c r="B880" s="3">
        <v>403</v>
      </c>
      <c r="C880" s="3" t="str">
        <f>VLOOKUP(B880, '[1]DAR area codes'!A:B,2,FALSE)</f>
        <v>oahu</v>
      </c>
      <c r="D880" s="4">
        <v>1497.05</v>
      </c>
      <c r="E880" s="6">
        <v>4314.0600000000004</v>
      </c>
      <c r="F880" s="3">
        <v>169373.75</v>
      </c>
      <c r="G880" s="3">
        <v>35150.589999999997</v>
      </c>
    </row>
    <row r="881" spans="1:7" x14ac:dyDescent="0.2">
      <c r="A881" s="3">
        <v>2011</v>
      </c>
      <c r="B881" s="3">
        <v>404</v>
      </c>
      <c r="C881" s="3" t="str">
        <f>VLOOKUP(B881, '[1]DAR area codes'!A:B,2,FALSE)</f>
        <v>oahu</v>
      </c>
      <c r="D881" s="4">
        <v>633</v>
      </c>
      <c r="E881" s="6">
        <v>3221.71</v>
      </c>
      <c r="F881" s="3">
        <v>59393.15</v>
      </c>
      <c r="G881" s="3">
        <v>3539.75</v>
      </c>
    </row>
    <row r="882" spans="1:7" x14ac:dyDescent="0.2">
      <c r="A882" s="3">
        <v>2011</v>
      </c>
      <c r="B882" s="3">
        <v>405</v>
      </c>
      <c r="C882" s="3" t="str">
        <f>VLOOKUP(B882, '[1]DAR area codes'!A:B,2,FALSE)</f>
        <v>oahu</v>
      </c>
      <c r="D882" s="4">
        <v>591</v>
      </c>
      <c r="E882" s="6">
        <v>1849.4</v>
      </c>
      <c r="F882" s="3">
        <v>14945.42</v>
      </c>
      <c r="G882" s="3">
        <v>655</v>
      </c>
    </row>
    <row r="883" spans="1:7" x14ac:dyDescent="0.2">
      <c r="A883" s="3">
        <v>2011</v>
      </c>
      <c r="B883" s="3">
        <v>406</v>
      </c>
      <c r="C883" s="3" t="str">
        <f>VLOOKUP(B883, '[1]DAR area codes'!A:B,2,FALSE)</f>
        <v>oahu</v>
      </c>
      <c r="D883" s="4">
        <v>492</v>
      </c>
      <c r="E883" s="6"/>
      <c r="F883" s="3">
        <v>31382.309999999998</v>
      </c>
      <c r="G883" s="3">
        <v>1596</v>
      </c>
    </row>
    <row r="884" spans="1:7" x14ac:dyDescent="0.2">
      <c r="A884" s="3">
        <v>2011</v>
      </c>
      <c r="B884" s="3">
        <v>407</v>
      </c>
      <c r="C884" s="3" t="str">
        <f>VLOOKUP(B884, '[1]DAR area codes'!A:B,2,FALSE)</f>
        <v>oahu</v>
      </c>
      <c r="D884" s="4">
        <v>155</v>
      </c>
      <c r="E884" s="6">
        <v>1184.5999999999999</v>
      </c>
      <c r="F884" s="3">
        <v>44220.929999999993</v>
      </c>
      <c r="G884" s="3">
        <v>108</v>
      </c>
    </row>
    <row r="885" spans="1:7" x14ac:dyDescent="0.2">
      <c r="A885" s="3">
        <v>2011</v>
      </c>
      <c r="B885" s="3">
        <v>408</v>
      </c>
      <c r="C885" s="3" t="str">
        <f>VLOOKUP(B885, '[1]DAR area codes'!A:B,2,FALSE)</f>
        <v>oahu</v>
      </c>
      <c r="E885" s="6">
        <v>664.5</v>
      </c>
      <c r="F885" s="3">
        <v>29445.320000000003</v>
      </c>
      <c r="G885" s="3">
        <v>0</v>
      </c>
    </row>
    <row r="886" spans="1:7" x14ac:dyDescent="0.2">
      <c r="A886" s="3">
        <v>2011</v>
      </c>
      <c r="B886" s="3">
        <v>409</v>
      </c>
      <c r="C886" s="3" t="str">
        <f>VLOOKUP(B886, '[1]DAR area codes'!A:B,2,FALSE)</f>
        <v>oahu</v>
      </c>
      <c r="D886" s="4">
        <v>681</v>
      </c>
      <c r="E886" s="6">
        <v>4249.8900000000003</v>
      </c>
      <c r="F886" s="3">
        <v>26258.920000000002</v>
      </c>
      <c r="G886" s="3">
        <v>1144</v>
      </c>
    </row>
    <row r="887" spans="1:7" x14ac:dyDescent="0.2">
      <c r="A887" s="3">
        <v>2011</v>
      </c>
      <c r="B887" s="3">
        <v>420</v>
      </c>
      <c r="C887" s="3" t="str">
        <f>VLOOKUP(B887, '[1]DAR area codes'!A:B,2,FALSE)</f>
        <v>oahu</v>
      </c>
      <c r="E887" s="6"/>
      <c r="F887" s="3">
        <v>0</v>
      </c>
      <c r="G887" s="3">
        <v>14603</v>
      </c>
    </row>
    <row r="888" spans="1:7" x14ac:dyDescent="0.2">
      <c r="A888" s="3">
        <v>2011</v>
      </c>
      <c r="B888" s="3">
        <v>421</v>
      </c>
      <c r="C888" s="3" t="str">
        <f>VLOOKUP(B888, '[1]DAR area codes'!A:B,2,FALSE)</f>
        <v>oahu</v>
      </c>
      <c r="D888" s="4">
        <v>304.24</v>
      </c>
      <c r="E888" s="6">
        <v>304.8</v>
      </c>
      <c r="F888" s="3">
        <v>278</v>
      </c>
      <c r="G888" s="3">
        <v>123560</v>
      </c>
    </row>
    <row r="889" spans="1:7" x14ac:dyDescent="0.2">
      <c r="A889" s="3">
        <v>2011</v>
      </c>
      <c r="B889" s="3">
        <v>422</v>
      </c>
      <c r="C889" s="3" t="str">
        <f>VLOOKUP(B889, '[1]DAR area codes'!A:B,2,FALSE)</f>
        <v>oahu</v>
      </c>
      <c r="D889" s="4">
        <v>91.3</v>
      </c>
      <c r="E889" s="6"/>
      <c r="F889" s="3">
        <v>1348.54</v>
      </c>
      <c r="G889" s="3">
        <v>68068.070000000007</v>
      </c>
    </row>
    <row r="890" spans="1:7" x14ac:dyDescent="0.2">
      <c r="A890" s="3">
        <v>2011</v>
      </c>
      <c r="B890" s="3">
        <v>423</v>
      </c>
      <c r="C890" s="3" t="str">
        <f>VLOOKUP(B890, '[1]DAR area codes'!A:B,2,FALSE)</f>
        <v>oahu</v>
      </c>
      <c r="D890" s="4">
        <v>1101.3</v>
      </c>
      <c r="E890" s="6">
        <v>1433.59</v>
      </c>
      <c r="F890" s="3">
        <v>16378.25</v>
      </c>
      <c r="G890" s="3">
        <v>235991.52</v>
      </c>
    </row>
    <row r="891" spans="1:7" x14ac:dyDescent="0.2">
      <c r="A891" s="3">
        <v>2011</v>
      </c>
      <c r="B891" s="3">
        <v>424</v>
      </c>
      <c r="C891" s="3" t="str">
        <f>VLOOKUP(B891, '[1]DAR area codes'!A:B,2,FALSE)</f>
        <v>oahu</v>
      </c>
      <c r="D891" s="4">
        <v>442.9</v>
      </c>
      <c r="E891" s="6">
        <v>1188.68</v>
      </c>
      <c r="F891" s="3">
        <v>1799.5500000000002</v>
      </c>
      <c r="G891" s="3">
        <v>64331.75</v>
      </c>
    </row>
    <row r="892" spans="1:7" x14ac:dyDescent="0.2">
      <c r="A892" s="3">
        <v>2011</v>
      </c>
      <c r="B892" s="3">
        <v>425</v>
      </c>
      <c r="C892" s="3" t="str">
        <f>VLOOKUP(B892, '[1]DAR area codes'!A:B,2,FALSE)</f>
        <v>oahu</v>
      </c>
      <c r="D892" s="4">
        <v>1242.75</v>
      </c>
      <c r="E892" s="6">
        <v>661.94</v>
      </c>
      <c r="F892" s="3">
        <v>0</v>
      </c>
      <c r="G892" s="3">
        <v>181539.18</v>
      </c>
    </row>
    <row r="893" spans="1:7" x14ac:dyDescent="0.2">
      <c r="A893" s="3">
        <v>2011</v>
      </c>
      <c r="B893" s="3">
        <v>426</v>
      </c>
      <c r="C893" s="3" t="str">
        <f>VLOOKUP(B893, '[1]DAR area codes'!A:B,2,FALSE)</f>
        <v>oahu</v>
      </c>
      <c r="D893" s="4">
        <v>2594.5</v>
      </c>
      <c r="E893" s="6"/>
      <c r="F893" s="3">
        <v>0</v>
      </c>
      <c r="G893" s="3">
        <v>129080</v>
      </c>
    </row>
    <row r="894" spans="1:7" x14ac:dyDescent="0.2">
      <c r="A894" s="3">
        <v>2011</v>
      </c>
      <c r="B894" s="3">
        <v>427</v>
      </c>
      <c r="C894" s="3" t="str">
        <f>VLOOKUP(B894, '[1]DAR area codes'!A:B,2,FALSE)</f>
        <v>oahu</v>
      </c>
      <c r="D894" s="4">
        <v>537.5</v>
      </c>
      <c r="E894" s="6">
        <v>208.5</v>
      </c>
      <c r="F894" s="3">
        <v>78</v>
      </c>
      <c r="G894" s="3">
        <v>308508.3</v>
      </c>
    </row>
    <row r="895" spans="1:7" x14ac:dyDescent="0.2">
      <c r="A895" s="3">
        <v>2011</v>
      </c>
      <c r="B895" s="3">
        <v>428</v>
      </c>
      <c r="C895" s="3" t="str">
        <f>VLOOKUP(B895, '[1]DAR area codes'!A:B,2,FALSE)</f>
        <v>oahu</v>
      </c>
      <c r="D895" s="4">
        <v>168.5</v>
      </c>
      <c r="E895" s="6"/>
      <c r="F895" s="3">
        <v>0</v>
      </c>
      <c r="G895" s="3">
        <v>12876</v>
      </c>
    </row>
    <row r="896" spans="1:7" x14ac:dyDescent="0.2">
      <c r="A896" s="3">
        <v>2011</v>
      </c>
      <c r="B896" s="3">
        <v>429</v>
      </c>
      <c r="C896" s="3" t="str">
        <f>VLOOKUP(B896, '[1]DAR area codes'!A:B,2,FALSE)</f>
        <v>oahu</v>
      </c>
      <c r="D896" s="4">
        <v>2216.5</v>
      </c>
      <c r="E896" s="6">
        <v>1698.5</v>
      </c>
      <c r="F896" s="3">
        <v>0</v>
      </c>
      <c r="G896" s="3">
        <v>5141</v>
      </c>
    </row>
    <row r="897" spans="1:7" x14ac:dyDescent="0.2">
      <c r="A897" s="3">
        <v>2011</v>
      </c>
      <c r="B897" s="3">
        <v>500</v>
      </c>
      <c r="C897" s="3" t="str">
        <f>VLOOKUP(B897, '[1]DAR area codes'!A:B,2,FALSE)</f>
        <v>kauai</v>
      </c>
      <c r="D897" s="4">
        <v>587</v>
      </c>
      <c r="E897" s="6">
        <v>3438.66</v>
      </c>
      <c r="F897" s="3">
        <v>25800.55</v>
      </c>
      <c r="G897" s="3">
        <v>8628.7999999999993</v>
      </c>
    </row>
    <row r="898" spans="1:7" x14ac:dyDescent="0.2">
      <c r="A898" s="3">
        <v>2011</v>
      </c>
      <c r="B898" s="3">
        <v>501</v>
      </c>
      <c r="C898" s="3" t="str">
        <f>VLOOKUP(B898, '[1]DAR area codes'!A:B,2,FALSE)</f>
        <v>kauai</v>
      </c>
      <c r="D898" s="4">
        <v>574.5</v>
      </c>
      <c r="E898" s="6">
        <v>2295.1</v>
      </c>
      <c r="F898" s="3">
        <v>10727.5</v>
      </c>
      <c r="G898" s="3">
        <v>3357</v>
      </c>
    </row>
    <row r="899" spans="1:7" x14ac:dyDescent="0.2">
      <c r="A899" s="3">
        <v>2011</v>
      </c>
      <c r="B899" s="3">
        <v>502</v>
      </c>
      <c r="C899" s="3" t="str">
        <f>VLOOKUP(B899, '[1]DAR area codes'!A:B,2,FALSE)</f>
        <v>kauai</v>
      </c>
      <c r="D899" s="4">
        <v>1918</v>
      </c>
      <c r="E899" s="6">
        <v>1232</v>
      </c>
      <c r="F899" s="3">
        <v>105</v>
      </c>
      <c r="G899" s="3">
        <v>312.5</v>
      </c>
    </row>
    <row r="900" spans="1:7" x14ac:dyDescent="0.2">
      <c r="A900" s="3">
        <v>2011</v>
      </c>
      <c r="B900" s="3">
        <v>503</v>
      </c>
      <c r="C900" s="3" t="str">
        <f>VLOOKUP(B900, '[1]DAR area codes'!A:B,2,FALSE)</f>
        <v>kauai</v>
      </c>
      <c r="D900" s="4">
        <v>395.5</v>
      </c>
      <c r="E900" s="6">
        <v>265.8</v>
      </c>
      <c r="F900" s="3">
        <v>1337.75</v>
      </c>
      <c r="G900" s="3">
        <v>5881</v>
      </c>
    </row>
    <row r="901" spans="1:7" x14ac:dyDescent="0.2">
      <c r="A901" s="3">
        <v>2011</v>
      </c>
      <c r="B901" s="3">
        <v>504</v>
      </c>
      <c r="C901" s="3" t="str">
        <f>VLOOKUP(B901, '[1]DAR area codes'!A:B,2,FALSE)</f>
        <v>kauai</v>
      </c>
      <c r="D901" s="4">
        <v>1223.4000000000001</v>
      </c>
      <c r="E901" s="6">
        <v>4209.25</v>
      </c>
      <c r="F901" s="3">
        <v>8053.2000000000007</v>
      </c>
      <c r="G901" s="3">
        <v>82709.66</v>
      </c>
    </row>
    <row r="902" spans="1:7" x14ac:dyDescent="0.2">
      <c r="A902" s="3">
        <v>2011</v>
      </c>
      <c r="B902" s="3">
        <v>505</v>
      </c>
      <c r="C902" s="3" t="str">
        <f>VLOOKUP(B902, '[1]DAR area codes'!A:B,2,FALSE)</f>
        <v>kauai</v>
      </c>
      <c r="D902" s="4">
        <v>751</v>
      </c>
      <c r="E902" s="6">
        <v>4141.92</v>
      </c>
      <c r="F902" s="3">
        <v>534</v>
      </c>
      <c r="G902" s="3">
        <v>4483</v>
      </c>
    </row>
    <row r="903" spans="1:7" x14ac:dyDescent="0.2">
      <c r="A903" s="3">
        <v>2011</v>
      </c>
      <c r="B903" s="3">
        <v>506</v>
      </c>
      <c r="C903" s="3" t="str">
        <f>VLOOKUP(B903, '[1]DAR area codes'!A:B,2,FALSE)</f>
        <v>kauai</v>
      </c>
      <c r="D903" s="4">
        <v>1787.4</v>
      </c>
      <c r="E903" s="6">
        <v>3027.3</v>
      </c>
      <c r="F903" s="3">
        <v>16273.2</v>
      </c>
      <c r="G903" s="3">
        <v>3407.2</v>
      </c>
    </row>
    <row r="904" spans="1:7" x14ac:dyDescent="0.2">
      <c r="A904" s="3">
        <v>2011</v>
      </c>
      <c r="B904" s="3">
        <v>507</v>
      </c>
      <c r="C904" s="3" t="str">
        <f>VLOOKUP(B904, '[1]DAR area codes'!A:B,2,FALSE)</f>
        <v>kauai</v>
      </c>
      <c r="E904" s="6"/>
      <c r="F904" s="3">
        <v>0</v>
      </c>
      <c r="G904" s="3">
        <v>0</v>
      </c>
    </row>
    <row r="905" spans="1:7" x14ac:dyDescent="0.2">
      <c r="A905" s="3">
        <v>2011</v>
      </c>
      <c r="B905" s="3">
        <v>508</v>
      </c>
      <c r="C905" s="3" t="str">
        <f>VLOOKUP(B905, '[1]DAR area codes'!A:B,2,FALSE)</f>
        <v>kauai</v>
      </c>
      <c r="D905" s="4">
        <v>734.5</v>
      </c>
      <c r="E905" s="6">
        <v>2649</v>
      </c>
      <c r="F905" s="3">
        <v>0</v>
      </c>
      <c r="G905" s="3">
        <v>27875</v>
      </c>
    </row>
    <row r="906" spans="1:7" x14ac:dyDescent="0.2">
      <c r="A906" s="3">
        <v>2011</v>
      </c>
      <c r="B906" s="3">
        <v>520</v>
      </c>
      <c r="C906" s="3" t="str">
        <f>VLOOKUP(B906, '[1]DAR area codes'!A:B,2,FALSE)</f>
        <v>kauai</v>
      </c>
      <c r="D906" s="4">
        <v>203.8</v>
      </c>
      <c r="E906" s="6">
        <v>1286.69</v>
      </c>
      <c r="F906" s="3">
        <v>7747.1100000000006</v>
      </c>
      <c r="G906" s="3">
        <v>140372.6</v>
      </c>
    </row>
    <row r="907" spans="1:7" x14ac:dyDescent="0.2">
      <c r="A907" s="3">
        <v>2011</v>
      </c>
      <c r="B907" s="3">
        <v>521</v>
      </c>
      <c r="C907" s="3" t="str">
        <f>VLOOKUP(B907, '[1]DAR area codes'!A:B,2,FALSE)</f>
        <v>kauai</v>
      </c>
      <c r="D907" s="4">
        <v>1311</v>
      </c>
      <c r="E907" s="6">
        <v>1637.5</v>
      </c>
      <c r="F907" s="3">
        <v>388</v>
      </c>
      <c r="G907" s="3">
        <v>17541.5</v>
      </c>
    </row>
    <row r="908" spans="1:7" x14ac:dyDescent="0.2">
      <c r="A908" s="3">
        <v>2011</v>
      </c>
      <c r="B908" s="3">
        <v>522</v>
      </c>
      <c r="C908" s="3" t="str">
        <f>VLOOKUP(B908, '[1]DAR area codes'!A:B,2,FALSE)</f>
        <v>kauai</v>
      </c>
      <c r="D908" s="4">
        <v>1440</v>
      </c>
      <c r="E908" s="6"/>
      <c r="F908" s="3">
        <v>0</v>
      </c>
      <c r="G908" s="3">
        <v>7089</v>
      </c>
    </row>
    <row r="909" spans="1:7" x14ac:dyDescent="0.2">
      <c r="A909" s="3">
        <v>2011</v>
      </c>
      <c r="B909" s="3">
        <v>523</v>
      </c>
      <c r="C909" s="3" t="str">
        <f>VLOOKUP(B909, '[1]DAR area codes'!A:B,2,FALSE)</f>
        <v>kauai</v>
      </c>
      <c r="D909" s="4">
        <v>1789.6</v>
      </c>
      <c r="E909" s="6">
        <v>1119</v>
      </c>
      <c r="F909" s="3">
        <v>10</v>
      </c>
      <c r="G909" s="3">
        <v>72876.5</v>
      </c>
    </row>
    <row r="910" spans="1:7" x14ac:dyDescent="0.2">
      <c r="A910" s="3">
        <v>2011</v>
      </c>
      <c r="B910" s="3">
        <v>524</v>
      </c>
      <c r="C910" s="3" t="str">
        <f>VLOOKUP(B910, '[1]DAR area codes'!A:B,2,FALSE)</f>
        <v>kauai</v>
      </c>
      <c r="D910" s="4">
        <v>835.4</v>
      </c>
      <c r="E910" s="6">
        <v>1371.6</v>
      </c>
      <c r="F910" s="3">
        <v>2013</v>
      </c>
      <c r="G910" s="3">
        <v>118983.8</v>
      </c>
    </row>
    <row r="911" spans="1:7" x14ac:dyDescent="0.2">
      <c r="A911" s="3">
        <v>2011</v>
      </c>
      <c r="B911" s="3">
        <v>525</v>
      </c>
      <c r="C911" s="3" t="str">
        <f>VLOOKUP(B911, '[1]DAR area codes'!A:B,2,FALSE)</f>
        <v>kauai</v>
      </c>
      <c r="E911" s="6"/>
      <c r="F911" s="3">
        <v>0</v>
      </c>
      <c r="G911" s="3">
        <v>7368.4</v>
      </c>
    </row>
    <row r="912" spans="1:7" x14ac:dyDescent="0.2">
      <c r="A912" s="3">
        <v>2011</v>
      </c>
      <c r="B912" s="3">
        <v>526</v>
      </c>
      <c r="C912" s="3" t="str">
        <f>VLOOKUP(B912, '[1]DAR area codes'!A:B,2,FALSE)</f>
        <v>kauai</v>
      </c>
      <c r="D912" s="4">
        <v>300.5</v>
      </c>
      <c r="E912" s="6">
        <v>1966</v>
      </c>
      <c r="F912" s="3">
        <v>320</v>
      </c>
      <c r="G912" s="3">
        <v>34549.5</v>
      </c>
    </row>
    <row r="913" spans="1:7" x14ac:dyDescent="0.2">
      <c r="A913" s="3">
        <v>2011</v>
      </c>
      <c r="B913" s="3">
        <v>527</v>
      </c>
      <c r="C913" s="3" t="str">
        <f>VLOOKUP(B913, '[1]DAR area codes'!A:B,2,FALSE)</f>
        <v>kauai</v>
      </c>
      <c r="E913" s="6"/>
      <c r="F913" s="3">
        <v>0</v>
      </c>
      <c r="G913" s="3">
        <v>0</v>
      </c>
    </row>
    <row r="914" spans="1:7" x14ac:dyDescent="0.2">
      <c r="A914" s="3">
        <v>2011</v>
      </c>
      <c r="B914" s="3">
        <v>528</v>
      </c>
      <c r="C914" s="3" t="str">
        <f>VLOOKUP(B914, '[1]DAR area codes'!A:B,2,FALSE)</f>
        <v>kauai</v>
      </c>
      <c r="E914" s="6"/>
      <c r="F914" s="3">
        <v>0</v>
      </c>
      <c r="G914" s="3">
        <v>1783.5</v>
      </c>
    </row>
    <row r="915" spans="1:7" x14ac:dyDescent="0.2">
      <c r="A915" s="3">
        <v>2010</v>
      </c>
      <c r="B915" s="3">
        <v>100</v>
      </c>
      <c r="C915" s="3" t="str">
        <f>VLOOKUP(B915, '[1]DAR area codes'!A:B,2,FALSE)</f>
        <v>hawaii</v>
      </c>
      <c r="D915" s="4">
        <v>1278.2</v>
      </c>
      <c r="E915" s="6">
        <v>502.6</v>
      </c>
      <c r="F915" s="3">
        <v>6371.5499999999993</v>
      </c>
      <c r="G915" s="3">
        <v>53695.199999999997</v>
      </c>
    </row>
    <row r="916" spans="1:7" x14ac:dyDescent="0.2">
      <c r="A916" s="3">
        <v>2010</v>
      </c>
      <c r="B916" s="3">
        <v>101</v>
      </c>
      <c r="C916" s="3" t="str">
        <f>VLOOKUP(B916, '[1]DAR area codes'!A:B,2,FALSE)</f>
        <v>hawaii</v>
      </c>
      <c r="D916" s="4">
        <v>3847.91</v>
      </c>
      <c r="E916" s="6">
        <v>5115.45</v>
      </c>
      <c r="F916" s="3">
        <v>136109.25999999998</v>
      </c>
      <c r="G916" s="3">
        <v>86822.34</v>
      </c>
    </row>
    <row r="917" spans="1:7" x14ac:dyDescent="0.2">
      <c r="A917" s="3">
        <v>2010</v>
      </c>
      <c r="B917" s="3">
        <v>102</v>
      </c>
      <c r="C917" s="3" t="str">
        <f>VLOOKUP(B917, '[1]DAR area codes'!A:B,2,FALSE)</f>
        <v>hawaii</v>
      </c>
      <c r="D917" s="4">
        <v>4506.6000000000004</v>
      </c>
      <c r="E917" s="6">
        <v>4653.8999999999996</v>
      </c>
      <c r="F917" s="3">
        <v>18707.119999999995</v>
      </c>
      <c r="G917" s="3">
        <v>16072.2</v>
      </c>
    </row>
    <row r="918" spans="1:7" x14ac:dyDescent="0.2">
      <c r="A918" s="3">
        <v>2010</v>
      </c>
      <c r="B918" s="3">
        <v>103</v>
      </c>
      <c r="C918" s="3" t="str">
        <f>VLOOKUP(B918, '[1]DAR area codes'!A:B,2,FALSE)</f>
        <v>hawaii</v>
      </c>
      <c r="D918" s="4">
        <v>235</v>
      </c>
      <c r="E918" s="6"/>
      <c r="F918" s="3">
        <v>1187.4000000000001</v>
      </c>
      <c r="G918" s="3">
        <v>3009.5</v>
      </c>
    </row>
    <row r="919" spans="1:7" x14ac:dyDescent="0.2">
      <c r="A919" s="3">
        <v>2010</v>
      </c>
      <c r="B919" s="3">
        <v>104</v>
      </c>
      <c r="C919" s="3" t="str">
        <f>VLOOKUP(B919, '[1]DAR area codes'!A:B,2,FALSE)</f>
        <v>hawaii</v>
      </c>
      <c r="D919" s="4">
        <v>512.6</v>
      </c>
      <c r="E919" s="6">
        <v>173.1</v>
      </c>
      <c r="F919" s="3">
        <v>1883.8000000000002</v>
      </c>
      <c r="G919" s="3">
        <v>1677.8</v>
      </c>
    </row>
    <row r="920" spans="1:7" x14ac:dyDescent="0.2">
      <c r="A920" s="3">
        <v>2010</v>
      </c>
      <c r="B920" s="3">
        <v>105</v>
      </c>
      <c r="C920" s="3" t="str">
        <f>VLOOKUP(B920, '[1]DAR area codes'!A:B,2,FALSE)</f>
        <v>hawaii</v>
      </c>
      <c r="D920" s="4">
        <v>2392.9</v>
      </c>
      <c r="E920" s="6">
        <v>193.7</v>
      </c>
      <c r="F920" s="3">
        <v>14719.04</v>
      </c>
      <c r="G920" s="3">
        <v>7305.9</v>
      </c>
    </row>
    <row r="921" spans="1:7" x14ac:dyDescent="0.2">
      <c r="A921" s="3">
        <v>2010</v>
      </c>
      <c r="B921" s="3">
        <v>106</v>
      </c>
      <c r="C921" s="3" t="str">
        <f>VLOOKUP(B921, '[1]DAR area codes'!A:B,2,FALSE)</f>
        <v>hawaii</v>
      </c>
      <c r="D921" s="4">
        <v>4463.3</v>
      </c>
      <c r="E921" s="6">
        <v>1289.05</v>
      </c>
      <c r="F921" s="3">
        <v>31346.84</v>
      </c>
      <c r="G921" s="3">
        <v>56927.38</v>
      </c>
    </row>
    <row r="922" spans="1:7" x14ac:dyDescent="0.2">
      <c r="A922" s="3">
        <v>2010</v>
      </c>
      <c r="B922" s="3">
        <v>107</v>
      </c>
      <c r="C922" s="3" t="str">
        <f>VLOOKUP(B922, '[1]DAR area codes'!A:B,2,FALSE)</f>
        <v>hawaii</v>
      </c>
      <c r="D922" s="4">
        <v>2755.8</v>
      </c>
      <c r="E922" s="6">
        <v>206.3</v>
      </c>
      <c r="F922" s="3">
        <v>8024.5999999999985</v>
      </c>
      <c r="G922" s="3">
        <v>72539</v>
      </c>
    </row>
    <row r="923" spans="1:7" x14ac:dyDescent="0.2">
      <c r="A923" s="3">
        <v>2010</v>
      </c>
      <c r="B923" s="3">
        <v>108</v>
      </c>
      <c r="C923" s="3" t="str">
        <f>VLOOKUP(B923, '[1]DAR area codes'!A:B,2,FALSE)</f>
        <v>hawaii</v>
      </c>
      <c r="D923" s="4">
        <v>525.20000000000005</v>
      </c>
      <c r="E923" s="6">
        <v>415.6</v>
      </c>
      <c r="F923" s="3">
        <v>5948.7400000000007</v>
      </c>
      <c r="G923" s="3">
        <v>24205.5</v>
      </c>
    </row>
    <row r="924" spans="1:7" x14ac:dyDescent="0.2">
      <c r="A924" s="3">
        <v>2010</v>
      </c>
      <c r="B924" s="3">
        <v>120</v>
      </c>
      <c r="C924" s="3" t="str">
        <f>VLOOKUP(B924, '[1]DAR area codes'!A:B,2,FALSE)</f>
        <v>hawaii</v>
      </c>
      <c r="D924" s="4">
        <v>1787.6</v>
      </c>
      <c r="E924" s="6">
        <v>2242.6</v>
      </c>
      <c r="F924" s="3">
        <v>4904.8</v>
      </c>
      <c r="G924" s="3">
        <v>51114.720000000001</v>
      </c>
    </row>
    <row r="925" spans="1:7" x14ac:dyDescent="0.2">
      <c r="A925" s="3">
        <v>2010</v>
      </c>
      <c r="B925" s="3">
        <v>121</v>
      </c>
      <c r="C925" s="3" t="str">
        <f>VLOOKUP(B925, '[1]DAR area codes'!A:B,2,FALSE)</f>
        <v>hawaii</v>
      </c>
      <c r="D925" s="4">
        <v>7617.35</v>
      </c>
      <c r="E925" s="6">
        <v>5659.5</v>
      </c>
      <c r="F925" s="3">
        <v>38740.01</v>
      </c>
      <c r="G925" s="3">
        <v>533175.96</v>
      </c>
    </row>
    <row r="926" spans="1:7" x14ac:dyDescent="0.2">
      <c r="A926" s="3">
        <v>2010</v>
      </c>
      <c r="B926" s="3">
        <v>122</v>
      </c>
      <c r="C926" s="3" t="str">
        <f>VLOOKUP(B926, '[1]DAR area codes'!A:B,2,FALSE)</f>
        <v>hawaii</v>
      </c>
      <c r="D926" s="4">
        <v>12170.13</v>
      </c>
      <c r="E926" s="6">
        <v>17507.23</v>
      </c>
      <c r="F926" s="3">
        <v>6413.3600000000006</v>
      </c>
      <c r="G926" s="3">
        <v>109282.43</v>
      </c>
    </row>
    <row r="927" spans="1:7" x14ac:dyDescent="0.2">
      <c r="A927" s="3">
        <v>2010</v>
      </c>
      <c r="B927" s="3">
        <v>123</v>
      </c>
      <c r="C927" s="3" t="str">
        <f>VLOOKUP(B927, '[1]DAR area codes'!A:B,2,FALSE)</f>
        <v>hawaii</v>
      </c>
      <c r="D927" s="4">
        <v>893</v>
      </c>
      <c r="E927" s="6"/>
      <c r="F927" s="3">
        <v>0</v>
      </c>
      <c r="G927" s="3">
        <v>4748.6000000000004</v>
      </c>
    </row>
    <row r="928" spans="1:7" x14ac:dyDescent="0.2">
      <c r="A928" s="3">
        <v>2010</v>
      </c>
      <c r="B928" s="3">
        <v>124</v>
      </c>
      <c r="C928" s="3" t="str">
        <f>VLOOKUP(B928, '[1]DAR area codes'!A:B,2,FALSE)</f>
        <v>hawaii</v>
      </c>
      <c r="D928" s="4">
        <v>175.6</v>
      </c>
      <c r="E928" s="6"/>
      <c r="F928" s="3">
        <v>0</v>
      </c>
      <c r="G928" s="3">
        <v>19536.71</v>
      </c>
    </row>
    <row r="929" spans="1:7" x14ac:dyDescent="0.2">
      <c r="A929" s="3">
        <v>2010</v>
      </c>
      <c r="B929" s="3">
        <v>125</v>
      </c>
      <c r="C929" s="3" t="str">
        <f>VLOOKUP(B929, '[1]DAR area codes'!A:B,2,FALSE)</f>
        <v>hawaii</v>
      </c>
      <c r="D929" s="4">
        <v>2472.9</v>
      </c>
      <c r="E929" s="6">
        <v>568.9</v>
      </c>
      <c r="F929" s="3">
        <v>1478.7</v>
      </c>
      <c r="G929" s="3">
        <v>256951.4</v>
      </c>
    </row>
    <row r="930" spans="1:7" x14ac:dyDescent="0.2">
      <c r="A930" s="3">
        <v>2010</v>
      </c>
      <c r="B930" s="3">
        <v>126</v>
      </c>
      <c r="C930" s="3" t="str">
        <f>VLOOKUP(B930, '[1]DAR area codes'!A:B,2,FALSE)</f>
        <v>hawaii</v>
      </c>
      <c r="D930" s="4">
        <v>1743.9</v>
      </c>
      <c r="E930" s="6">
        <v>966.8</v>
      </c>
      <c r="F930" s="3">
        <v>10687.779999999999</v>
      </c>
      <c r="G930" s="3">
        <v>334101.12</v>
      </c>
    </row>
    <row r="931" spans="1:7" x14ac:dyDescent="0.2">
      <c r="A931" s="3">
        <v>2010</v>
      </c>
      <c r="B931" s="3">
        <v>127</v>
      </c>
      <c r="C931" s="3" t="str">
        <f>VLOOKUP(B931, '[1]DAR area codes'!A:B,2,FALSE)</f>
        <v>hawaii</v>
      </c>
      <c r="D931" s="4">
        <v>454.5</v>
      </c>
      <c r="E931" s="6"/>
      <c r="F931" s="3">
        <v>1187</v>
      </c>
      <c r="G931" s="3">
        <v>56175.5</v>
      </c>
    </row>
    <row r="932" spans="1:7" x14ac:dyDescent="0.2">
      <c r="A932" s="3">
        <v>2010</v>
      </c>
      <c r="B932" s="3">
        <v>128</v>
      </c>
      <c r="C932" s="3" t="str">
        <f>VLOOKUP(B932, '[1]DAR area codes'!A:B,2,FALSE)</f>
        <v>hawaii</v>
      </c>
      <c r="D932" s="4">
        <v>509.8</v>
      </c>
      <c r="E932" s="6"/>
      <c r="F932" s="3">
        <v>0</v>
      </c>
      <c r="G932" s="3">
        <v>4667</v>
      </c>
    </row>
    <row r="933" spans="1:7" x14ac:dyDescent="0.2">
      <c r="A933" s="3">
        <v>2010</v>
      </c>
      <c r="B933" s="3">
        <v>300</v>
      </c>
      <c r="C933" s="3" t="str">
        <f>VLOOKUP(B933, '[1]DAR area codes'!A:B,2,FALSE)</f>
        <v>maui</v>
      </c>
      <c r="D933" s="4">
        <v>448</v>
      </c>
      <c r="E933" s="6">
        <v>3279.6</v>
      </c>
      <c r="F933" s="3">
        <v>63769.8</v>
      </c>
      <c r="G933" s="3">
        <v>1534.9</v>
      </c>
    </row>
    <row r="934" spans="1:7" x14ac:dyDescent="0.2">
      <c r="A934" s="3">
        <v>2010</v>
      </c>
      <c r="B934" s="3">
        <v>301</v>
      </c>
      <c r="C934" s="3" t="str">
        <f>VLOOKUP(B934, '[1]DAR area codes'!A:B,2,FALSE)</f>
        <v>maui</v>
      </c>
      <c r="E934" s="6">
        <v>2370.64</v>
      </c>
      <c r="F934" s="3">
        <v>5714.4900000000007</v>
      </c>
      <c r="G934" s="3">
        <v>83</v>
      </c>
    </row>
    <row r="935" spans="1:7" x14ac:dyDescent="0.2">
      <c r="A935" s="3">
        <v>2010</v>
      </c>
      <c r="B935" s="3">
        <v>302</v>
      </c>
      <c r="C935" s="3" t="str">
        <f>VLOOKUP(B935, '[1]DAR area codes'!A:B,2,FALSE)</f>
        <v>maui</v>
      </c>
      <c r="D935" s="4">
        <v>2331.1999999999998</v>
      </c>
      <c r="E935" s="6">
        <v>438.9</v>
      </c>
      <c r="F935" s="3">
        <v>26954.799999999999</v>
      </c>
      <c r="G935" s="3">
        <v>2376.7999999999997</v>
      </c>
    </row>
    <row r="936" spans="1:7" x14ac:dyDescent="0.2">
      <c r="A936" s="3">
        <v>2010</v>
      </c>
      <c r="B936" s="3">
        <v>303</v>
      </c>
      <c r="C936" s="3" t="str">
        <f>VLOOKUP(B936, '[1]DAR area codes'!A:B,2,FALSE)</f>
        <v>maui</v>
      </c>
      <c r="D936" s="4">
        <v>1743.35</v>
      </c>
      <c r="E936" s="6">
        <v>386</v>
      </c>
      <c r="F936" s="3">
        <v>2464.3599999999997</v>
      </c>
      <c r="G936" s="3">
        <v>3489.7</v>
      </c>
    </row>
    <row r="937" spans="1:7" x14ac:dyDescent="0.2">
      <c r="A937" s="3">
        <v>2010</v>
      </c>
      <c r="B937" s="3">
        <v>304</v>
      </c>
      <c r="C937" s="3" t="str">
        <f>VLOOKUP(B937, '[1]DAR area codes'!A:B,2,FALSE)</f>
        <v>maui</v>
      </c>
      <c r="D937" s="4">
        <v>4546.5</v>
      </c>
      <c r="E937" s="6">
        <v>2452.6</v>
      </c>
      <c r="F937" s="3">
        <v>110.2</v>
      </c>
      <c r="G937" s="3">
        <v>733.3</v>
      </c>
    </row>
    <row r="938" spans="1:7" x14ac:dyDescent="0.2">
      <c r="A938" s="3">
        <v>2010</v>
      </c>
      <c r="B938" s="3">
        <v>305</v>
      </c>
      <c r="C938" s="3" t="str">
        <f>VLOOKUP(B938, '[1]DAR area codes'!A:B,2,FALSE)</f>
        <v>maui</v>
      </c>
      <c r="D938" s="4">
        <v>8878.1</v>
      </c>
      <c r="E938" s="6">
        <v>2754.5</v>
      </c>
      <c r="F938" s="3">
        <v>9148.14</v>
      </c>
      <c r="G938" s="3">
        <v>4833.75</v>
      </c>
    </row>
    <row r="939" spans="1:7" x14ac:dyDescent="0.2">
      <c r="A939" s="3">
        <v>2010</v>
      </c>
      <c r="B939" s="3">
        <v>306</v>
      </c>
      <c r="C939" s="3" t="str">
        <f>VLOOKUP(B939, '[1]DAR area codes'!A:B,2,FALSE)</f>
        <v>maui</v>
      </c>
      <c r="D939" s="4">
        <v>612.92999999999995</v>
      </c>
      <c r="E939" s="6"/>
      <c r="F939" s="3">
        <v>53.6</v>
      </c>
      <c r="G939" s="3">
        <v>927</v>
      </c>
    </row>
    <row r="940" spans="1:7" x14ac:dyDescent="0.2">
      <c r="A940" s="3">
        <v>2010</v>
      </c>
      <c r="B940" s="3">
        <v>307</v>
      </c>
      <c r="C940" s="3" t="str">
        <f>VLOOKUP(B940, '[1]DAR area codes'!A:B,2,FALSE)</f>
        <v>maui</v>
      </c>
      <c r="E940" s="6"/>
      <c r="F940" s="3">
        <v>0</v>
      </c>
      <c r="G940" s="3">
        <v>0</v>
      </c>
    </row>
    <row r="941" spans="1:7" x14ac:dyDescent="0.2">
      <c r="A941" s="3">
        <v>2010</v>
      </c>
      <c r="B941" s="3">
        <v>308</v>
      </c>
      <c r="C941" s="3" t="str">
        <f>VLOOKUP(B941, '[1]DAR area codes'!A:B,2,FALSE)</f>
        <v>maui</v>
      </c>
      <c r="D941" s="4">
        <v>5422.75</v>
      </c>
      <c r="E941" s="6">
        <v>1855.2</v>
      </c>
      <c r="F941" s="3">
        <v>1251.4000000000001</v>
      </c>
      <c r="G941" s="3">
        <v>5008.1000000000004</v>
      </c>
    </row>
    <row r="942" spans="1:7" x14ac:dyDescent="0.2">
      <c r="A942" s="3">
        <v>2010</v>
      </c>
      <c r="B942" s="3">
        <v>309</v>
      </c>
      <c r="C942" s="3" t="str">
        <f>VLOOKUP(B942, '[1]DAR area codes'!A:B,2,FALSE)</f>
        <v>maui</v>
      </c>
      <c r="E942" s="6">
        <v>77.099999999999994</v>
      </c>
      <c r="F942" s="3">
        <v>149.53</v>
      </c>
      <c r="G942" s="3">
        <v>194.5</v>
      </c>
    </row>
    <row r="943" spans="1:7" x14ac:dyDescent="0.2">
      <c r="A943" s="3">
        <v>2010</v>
      </c>
      <c r="B943" s="3">
        <v>310</v>
      </c>
      <c r="C943" s="3" t="str">
        <f>VLOOKUP(B943, '[1]DAR area codes'!A:B,2,FALSE)</f>
        <v>maui</v>
      </c>
      <c r="E943" s="6"/>
      <c r="F943" s="3">
        <v>1378</v>
      </c>
      <c r="G943" s="3">
        <v>1021</v>
      </c>
    </row>
    <row r="944" spans="1:7" x14ac:dyDescent="0.2">
      <c r="A944" s="3">
        <v>2010</v>
      </c>
      <c r="B944" s="3">
        <v>311</v>
      </c>
      <c r="C944" s="3" t="str">
        <f>VLOOKUP(B944, '[1]DAR area codes'!A:B,2,FALSE)</f>
        <v>maui</v>
      </c>
      <c r="D944" s="4">
        <v>815.3</v>
      </c>
      <c r="E944" s="6">
        <v>569.95000000000005</v>
      </c>
      <c r="F944" s="3">
        <v>1807.3999999999999</v>
      </c>
      <c r="G944" s="3">
        <v>790</v>
      </c>
    </row>
    <row r="945" spans="1:7" x14ac:dyDescent="0.2">
      <c r="A945" s="3">
        <v>2010</v>
      </c>
      <c r="B945" s="3">
        <v>312</v>
      </c>
      <c r="C945" s="3" t="str">
        <f>VLOOKUP(B945, '[1]DAR area codes'!A:B,2,FALSE)</f>
        <v>maui</v>
      </c>
      <c r="D945" s="4">
        <v>3800.6</v>
      </c>
      <c r="E945" s="6"/>
      <c r="F945" s="3">
        <v>9106</v>
      </c>
      <c r="G945" s="3">
        <v>670</v>
      </c>
    </row>
    <row r="946" spans="1:7" x14ac:dyDescent="0.2">
      <c r="A946" s="3">
        <v>2010</v>
      </c>
      <c r="B946" s="3">
        <v>313</v>
      </c>
      <c r="C946" s="3" t="str">
        <f>VLOOKUP(B946, '[1]DAR area codes'!A:B,2,FALSE)</f>
        <v>maui</v>
      </c>
      <c r="D946" s="4">
        <v>13794.1</v>
      </c>
      <c r="E946" s="6">
        <v>600.9</v>
      </c>
      <c r="F946" s="3">
        <v>0</v>
      </c>
      <c r="G946" s="3">
        <v>4881</v>
      </c>
    </row>
    <row r="947" spans="1:7" x14ac:dyDescent="0.2">
      <c r="A947" s="3">
        <v>2010</v>
      </c>
      <c r="B947" s="3">
        <v>314</v>
      </c>
      <c r="C947" s="3" t="str">
        <f>VLOOKUP(B947, '[1]DAR area codes'!A:B,2,FALSE)</f>
        <v>maui</v>
      </c>
      <c r="D947" s="4">
        <v>879.1</v>
      </c>
      <c r="E947" s="6">
        <v>277.39999999999998</v>
      </c>
      <c r="F947" s="3">
        <v>0</v>
      </c>
      <c r="G947" s="3">
        <v>1046.5999999999999</v>
      </c>
    </row>
    <row r="948" spans="1:7" x14ac:dyDescent="0.2">
      <c r="A948" s="3">
        <v>2010</v>
      </c>
      <c r="B948" s="3">
        <v>320</v>
      </c>
      <c r="C948" s="3" t="str">
        <f>VLOOKUP(B948, '[1]DAR area codes'!A:B,2,FALSE)</f>
        <v>maui</v>
      </c>
      <c r="D948" s="4">
        <v>32417.88</v>
      </c>
      <c r="E948" s="6">
        <v>7288.56</v>
      </c>
      <c r="F948" s="3">
        <v>26527.250000000004</v>
      </c>
      <c r="G948" s="3">
        <v>15173.199999999999</v>
      </c>
    </row>
    <row r="949" spans="1:7" x14ac:dyDescent="0.2">
      <c r="A949" s="3">
        <v>2010</v>
      </c>
      <c r="B949" s="3">
        <v>321</v>
      </c>
      <c r="C949" s="3" t="str">
        <f>VLOOKUP(B949, '[1]DAR area codes'!A:B,2,FALSE)</f>
        <v>maui</v>
      </c>
      <c r="D949" s="4">
        <v>16442.900000000001</v>
      </c>
      <c r="E949" s="6">
        <v>4525.3</v>
      </c>
      <c r="F949" s="3">
        <v>973.6</v>
      </c>
      <c r="G949" s="3">
        <v>4067.1</v>
      </c>
    </row>
    <row r="950" spans="1:7" x14ac:dyDescent="0.2">
      <c r="A950" s="3">
        <v>2010</v>
      </c>
      <c r="B950" s="3">
        <v>322</v>
      </c>
      <c r="C950" s="3" t="str">
        <f>VLOOKUP(B950, '[1]DAR area codes'!A:B,2,FALSE)</f>
        <v>maui</v>
      </c>
      <c r="D950" s="4">
        <v>2270.75</v>
      </c>
      <c r="E950" s="6"/>
      <c r="F950" s="3">
        <v>442.75</v>
      </c>
      <c r="G950" s="3">
        <v>20406.8</v>
      </c>
    </row>
    <row r="951" spans="1:7" x14ac:dyDescent="0.2">
      <c r="A951" s="3">
        <v>2010</v>
      </c>
      <c r="B951" s="3">
        <v>323</v>
      </c>
      <c r="C951" s="3" t="str">
        <f>VLOOKUP(B951, '[1]DAR area codes'!A:B,2,FALSE)</f>
        <v>maui</v>
      </c>
      <c r="D951" s="4">
        <v>627</v>
      </c>
      <c r="E951" s="6"/>
      <c r="F951" s="3">
        <v>4050</v>
      </c>
      <c r="G951" s="3">
        <v>204707.75</v>
      </c>
    </row>
    <row r="952" spans="1:7" x14ac:dyDescent="0.2">
      <c r="A952" s="3">
        <v>2010</v>
      </c>
      <c r="B952" s="3">
        <v>324</v>
      </c>
      <c r="C952" s="3" t="str">
        <f>VLOOKUP(B952, '[1]DAR area codes'!A:B,2,FALSE)</f>
        <v>maui</v>
      </c>
      <c r="D952" s="4">
        <v>3436.5</v>
      </c>
      <c r="E952" s="6">
        <v>1090.5</v>
      </c>
      <c r="F952" s="3">
        <v>0</v>
      </c>
      <c r="G952" s="3">
        <v>30182.7</v>
      </c>
    </row>
    <row r="953" spans="1:7" x14ac:dyDescent="0.2">
      <c r="A953" s="3">
        <v>2010</v>
      </c>
      <c r="B953" s="3">
        <v>325</v>
      </c>
      <c r="C953" s="3" t="str">
        <f>VLOOKUP(B953, '[1]DAR area codes'!A:B,2,FALSE)</f>
        <v>maui</v>
      </c>
      <c r="D953" s="4">
        <v>3615.86</v>
      </c>
      <c r="E953" s="6"/>
      <c r="F953" s="3">
        <v>0</v>
      </c>
      <c r="G953" s="3">
        <v>6590.9000000000005</v>
      </c>
    </row>
    <row r="954" spans="1:7" x14ac:dyDescent="0.2">
      <c r="A954" s="3">
        <v>2010</v>
      </c>
      <c r="B954" s="3">
        <v>326</v>
      </c>
      <c r="C954" s="3" t="str">
        <f>VLOOKUP(B954, '[1]DAR area codes'!A:B,2,FALSE)</f>
        <v>maui</v>
      </c>
      <c r="E954" s="6"/>
      <c r="F954" s="3">
        <v>0</v>
      </c>
      <c r="G954" s="3">
        <v>18776.3</v>
      </c>
    </row>
    <row r="955" spans="1:7" x14ac:dyDescent="0.2">
      <c r="A955" s="3">
        <v>2010</v>
      </c>
      <c r="B955" s="3">
        <v>327</v>
      </c>
      <c r="C955" s="3" t="str">
        <f>VLOOKUP(B955, '[1]DAR area codes'!A:B,2,FALSE)</f>
        <v>maui</v>
      </c>
      <c r="D955" s="4">
        <v>15381.51</v>
      </c>
      <c r="E955" s="6">
        <v>1319</v>
      </c>
      <c r="F955" s="3">
        <v>312.5</v>
      </c>
      <c r="G955" s="3">
        <v>21870.799999999999</v>
      </c>
    </row>
    <row r="956" spans="1:7" x14ac:dyDescent="0.2">
      <c r="A956" s="3">
        <v>2010</v>
      </c>
      <c r="B956" s="3">
        <v>328</v>
      </c>
      <c r="C956" s="3" t="str">
        <f>VLOOKUP(B956, '[1]DAR area codes'!A:B,2,FALSE)</f>
        <v>maui</v>
      </c>
      <c r="D956" s="4">
        <v>906.5</v>
      </c>
      <c r="E956" s="6">
        <v>924.14</v>
      </c>
      <c r="F956" s="3">
        <v>101</v>
      </c>
      <c r="G956" s="3">
        <v>79920.37</v>
      </c>
    </row>
    <row r="957" spans="1:7" x14ac:dyDescent="0.2">
      <c r="A957" s="3">
        <v>2010</v>
      </c>
      <c r="B957" s="3">
        <v>331</v>
      </c>
      <c r="C957" s="3" t="str">
        <f>VLOOKUP(B957, '[1]DAR area codes'!A:B,2,FALSE)</f>
        <v>maui</v>
      </c>
      <c r="D957" s="4">
        <v>42831.3</v>
      </c>
      <c r="E957" s="6">
        <v>32568.3</v>
      </c>
      <c r="F957" s="3">
        <v>1486.9</v>
      </c>
      <c r="G957" s="3">
        <v>35564.339999999997</v>
      </c>
    </row>
    <row r="958" spans="1:7" x14ac:dyDescent="0.2">
      <c r="A958" s="3">
        <v>2010</v>
      </c>
      <c r="B958" s="3">
        <v>332</v>
      </c>
      <c r="C958" s="3" t="str">
        <f>VLOOKUP(B958, '[1]DAR area codes'!A:B,2,FALSE)</f>
        <v>maui</v>
      </c>
      <c r="E958" s="6"/>
      <c r="F958" s="3">
        <v>0</v>
      </c>
      <c r="G958" s="3">
        <v>4892.3</v>
      </c>
    </row>
    <row r="959" spans="1:7" x14ac:dyDescent="0.2">
      <c r="A959" s="3">
        <v>2010</v>
      </c>
      <c r="B959" s="3">
        <v>333</v>
      </c>
      <c r="C959" s="3" t="str">
        <f>VLOOKUP(B959, '[1]DAR area codes'!A:B,2,FALSE)</f>
        <v>maui</v>
      </c>
      <c r="D959" s="4">
        <v>3521</v>
      </c>
      <c r="E959" s="6"/>
      <c r="F959" s="3">
        <v>0</v>
      </c>
      <c r="G959" s="3">
        <v>752.6</v>
      </c>
    </row>
    <row r="960" spans="1:7" x14ac:dyDescent="0.2">
      <c r="A960" s="3">
        <v>2010</v>
      </c>
      <c r="B960" s="3">
        <v>400</v>
      </c>
      <c r="C960" s="3" t="str">
        <f>VLOOKUP(B960, '[1]DAR area codes'!A:B,2,FALSE)</f>
        <v>oahu</v>
      </c>
      <c r="D960" s="4">
        <v>672.3</v>
      </c>
      <c r="E960" s="6">
        <v>859.41</v>
      </c>
      <c r="F960" s="3">
        <v>20347.330000000002</v>
      </c>
      <c r="G960" s="3">
        <v>489</v>
      </c>
    </row>
    <row r="961" spans="1:7" x14ac:dyDescent="0.2">
      <c r="A961" s="3">
        <v>2010</v>
      </c>
      <c r="B961" s="3">
        <v>401</v>
      </c>
      <c r="C961" s="3" t="str">
        <f>VLOOKUP(B961, '[1]DAR area codes'!A:B,2,FALSE)</f>
        <v>oahu</v>
      </c>
      <c r="D961" s="4">
        <v>302.27</v>
      </c>
      <c r="E961" s="6">
        <v>2198.52</v>
      </c>
      <c r="F961" s="3">
        <v>75355.750000000015</v>
      </c>
      <c r="G961" s="3">
        <v>3999.6</v>
      </c>
    </row>
    <row r="962" spans="1:7" x14ac:dyDescent="0.2">
      <c r="A962" s="3">
        <v>2010</v>
      </c>
      <c r="B962" s="3">
        <v>402</v>
      </c>
      <c r="C962" s="3" t="str">
        <f>VLOOKUP(B962, '[1]DAR area codes'!A:B,2,FALSE)</f>
        <v>oahu</v>
      </c>
      <c r="D962" s="4">
        <v>251</v>
      </c>
      <c r="E962" s="6">
        <v>4560.0600000000004</v>
      </c>
      <c r="F962" s="3">
        <v>50691.409999999996</v>
      </c>
      <c r="G962" s="3">
        <v>5090.2000000000007</v>
      </c>
    </row>
    <row r="963" spans="1:7" x14ac:dyDescent="0.2">
      <c r="A963" s="3">
        <v>2010</v>
      </c>
      <c r="B963" s="3">
        <v>403</v>
      </c>
      <c r="C963" s="3" t="str">
        <f>VLOOKUP(B963, '[1]DAR area codes'!A:B,2,FALSE)</f>
        <v>oahu</v>
      </c>
      <c r="D963" s="4">
        <v>1077.6500000000001</v>
      </c>
      <c r="E963" s="6">
        <v>4775.8599999999997</v>
      </c>
      <c r="F963" s="3">
        <v>160594.56000000003</v>
      </c>
      <c r="G963" s="3">
        <v>46851.89</v>
      </c>
    </row>
    <row r="964" spans="1:7" x14ac:dyDescent="0.2">
      <c r="A964" s="3">
        <v>2010</v>
      </c>
      <c r="B964" s="3">
        <v>404</v>
      </c>
      <c r="C964" s="3" t="str">
        <f>VLOOKUP(B964, '[1]DAR area codes'!A:B,2,FALSE)</f>
        <v>oahu</v>
      </c>
      <c r="D964" s="4">
        <v>1545.6</v>
      </c>
      <c r="E964" s="6">
        <v>2597.59</v>
      </c>
      <c r="F964" s="3">
        <v>77642.560000000012</v>
      </c>
      <c r="G964" s="3">
        <v>4520.5</v>
      </c>
    </row>
    <row r="965" spans="1:7" x14ac:dyDescent="0.2">
      <c r="A965" s="3">
        <v>2010</v>
      </c>
      <c r="B965" s="3">
        <v>405</v>
      </c>
      <c r="C965" s="3" t="str">
        <f>VLOOKUP(B965, '[1]DAR area codes'!A:B,2,FALSE)</f>
        <v>oahu</v>
      </c>
      <c r="D965" s="4">
        <v>2576</v>
      </c>
      <c r="E965" s="6">
        <v>1394.56</v>
      </c>
      <c r="F965" s="3">
        <v>14168.349999999999</v>
      </c>
      <c r="G965" s="3">
        <v>2670</v>
      </c>
    </row>
    <row r="966" spans="1:7" x14ac:dyDescent="0.2">
      <c r="A966" s="3">
        <v>2010</v>
      </c>
      <c r="B966" s="3">
        <v>406</v>
      </c>
      <c r="C966" s="3" t="str">
        <f>VLOOKUP(B966, '[1]DAR area codes'!A:B,2,FALSE)</f>
        <v>oahu</v>
      </c>
      <c r="D966" s="4">
        <v>201.61</v>
      </c>
      <c r="E966" s="6"/>
      <c r="F966" s="3">
        <v>54465.74</v>
      </c>
      <c r="G966" s="3">
        <v>101</v>
      </c>
    </row>
    <row r="967" spans="1:7" x14ac:dyDescent="0.2">
      <c r="A967" s="3">
        <v>2010</v>
      </c>
      <c r="B967" s="3">
        <v>407</v>
      </c>
      <c r="C967" s="3" t="str">
        <f>VLOOKUP(B967, '[1]DAR area codes'!A:B,2,FALSE)</f>
        <v>oahu</v>
      </c>
      <c r="D967" s="4">
        <v>580.04999999999995</v>
      </c>
      <c r="E967" s="6"/>
      <c r="F967" s="3">
        <v>32682.909999999996</v>
      </c>
      <c r="G967" s="3">
        <v>184</v>
      </c>
    </row>
    <row r="968" spans="1:7" x14ac:dyDescent="0.2">
      <c r="A968" s="3">
        <v>2010</v>
      </c>
      <c r="B968" s="3">
        <v>408</v>
      </c>
      <c r="C968" s="3" t="str">
        <f>VLOOKUP(B968, '[1]DAR area codes'!A:B,2,FALSE)</f>
        <v>oahu</v>
      </c>
      <c r="E968" s="6">
        <v>257.83999999999997</v>
      </c>
      <c r="F968" s="3">
        <v>20875.289999999997</v>
      </c>
      <c r="G968" s="3">
        <v>177</v>
      </c>
    </row>
    <row r="969" spans="1:7" x14ac:dyDescent="0.2">
      <c r="A969" s="3">
        <v>2010</v>
      </c>
      <c r="B969" s="3">
        <v>409</v>
      </c>
      <c r="C969" s="3" t="str">
        <f>VLOOKUP(B969, '[1]DAR area codes'!A:B,2,FALSE)</f>
        <v>oahu</v>
      </c>
      <c r="D969" s="4">
        <v>313.8</v>
      </c>
      <c r="E969" s="6">
        <v>422.4</v>
      </c>
      <c r="F969" s="3">
        <v>15778.31</v>
      </c>
      <c r="G969" s="3">
        <v>1532.25</v>
      </c>
    </row>
    <row r="970" spans="1:7" x14ac:dyDescent="0.2">
      <c r="A970" s="3">
        <v>2010</v>
      </c>
      <c r="B970" s="3">
        <v>420</v>
      </c>
      <c r="C970" s="3" t="str">
        <f>VLOOKUP(B970, '[1]DAR area codes'!A:B,2,FALSE)</f>
        <v>oahu</v>
      </c>
      <c r="D970" s="4">
        <v>396.5</v>
      </c>
      <c r="E970" s="6"/>
      <c r="F970" s="3">
        <v>1298.2</v>
      </c>
      <c r="G970" s="3">
        <v>18771</v>
      </c>
    </row>
    <row r="971" spans="1:7" x14ac:dyDescent="0.2">
      <c r="A971" s="3">
        <v>2010</v>
      </c>
      <c r="B971" s="3">
        <v>421</v>
      </c>
      <c r="C971" s="3" t="str">
        <f>VLOOKUP(B971, '[1]DAR area codes'!A:B,2,FALSE)</f>
        <v>oahu</v>
      </c>
      <c r="D971" s="4">
        <v>831.2</v>
      </c>
      <c r="E971" s="6">
        <v>556.9</v>
      </c>
      <c r="F971" s="3">
        <v>64</v>
      </c>
      <c r="G971" s="3">
        <v>114195.74</v>
      </c>
    </row>
    <row r="972" spans="1:7" x14ac:dyDescent="0.2">
      <c r="A972" s="3">
        <v>2010</v>
      </c>
      <c r="B972" s="3">
        <v>422</v>
      </c>
      <c r="C972" s="3" t="str">
        <f>VLOOKUP(B972, '[1]DAR area codes'!A:B,2,FALSE)</f>
        <v>oahu</v>
      </c>
      <c r="D972" s="4">
        <v>86.42</v>
      </c>
      <c r="E972" s="6"/>
      <c r="F972" s="3">
        <v>1898.43</v>
      </c>
      <c r="G972" s="3">
        <v>57603.63</v>
      </c>
    </row>
    <row r="973" spans="1:7" x14ac:dyDescent="0.2">
      <c r="A973" s="3">
        <v>2010</v>
      </c>
      <c r="B973" s="3">
        <v>423</v>
      </c>
      <c r="C973" s="3" t="str">
        <f>VLOOKUP(B973, '[1]DAR area codes'!A:B,2,FALSE)</f>
        <v>oahu</v>
      </c>
      <c r="D973" s="4">
        <v>2181.64</v>
      </c>
      <c r="E973" s="6">
        <v>2471.0100000000002</v>
      </c>
      <c r="F973" s="3">
        <v>16166.42</v>
      </c>
      <c r="G973" s="3">
        <v>274606.18</v>
      </c>
    </row>
    <row r="974" spans="1:7" x14ac:dyDescent="0.2">
      <c r="A974" s="3">
        <v>2010</v>
      </c>
      <c r="B974" s="3">
        <v>424</v>
      </c>
      <c r="C974" s="3" t="str">
        <f>VLOOKUP(B974, '[1]DAR area codes'!A:B,2,FALSE)</f>
        <v>oahu</v>
      </c>
      <c r="D974" s="4">
        <v>466.2</v>
      </c>
      <c r="E974" s="6">
        <v>1021</v>
      </c>
      <c r="F974" s="3">
        <v>663.93999999999994</v>
      </c>
      <c r="G974" s="3">
        <v>39814.5</v>
      </c>
    </row>
    <row r="975" spans="1:7" x14ac:dyDescent="0.2">
      <c r="A975" s="3">
        <v>2010</v>
      </c>
      <c r="B975" s="3">
        <v>425</v>
      </c>
      <c r="C975" s="3" t="str">
        <f>VLOOKUP(B975, '[1]DAR area codes'!A:B,2,FALSE)</f>
        <v>oahu</v>
      </c>
      <c r="D975" s="4">
        <v>1686.3</v>
      </c>
      <c r="E975" s="6">
        <v>500</v>
      </c>
      <c r="F975" s="3">
        <v>172</v>
      </c>
      <c r="G975" s="3">
        <v>130391.9</v>
      </c>
    </row>
    <row r="976" spans="1:7" x14ac:dyDescent="0.2">
      <c r="A976" s="3">
        <v>2010</v>
      </c>
      <c r="B976" s="3">
        <v>426</v>
      </c>
      <c r="C976" s="3" t="str">
        <f>VLOOKUP(B976, '[1]DAR area codes'!A:B,2,FALSE)</f>
        <v>oahu</v>
      </c>
      <c r="D976" s="4">
        <v>1388.5</v>
      </c>
      <c r="E976" s="6">
        <v>172.5</v>
      </c>
      <c r="F976" s="3">
        <v>0</v>
      </c>
      <c r="G976" s="3">
        <v>97614.2</v>
      </c>
    </row>
    <row r="977" spans="1:7" x14ac:dyDescent="0.2">
      <c r="A977" s="3">
        <v>2010</v>
      </c>
      <c r="B977" s="3">
        <v>427</v>
      </c>
      <c r="C977" s="3" t="str">
        <f>VLOOKUP(B977, '[1]DAR area codes'!A:B,2,FALSE)</f>
        <v>oahu</v>
      </c>
      <c r="D977" s="4">
        <v>137</v>
      </c>
      <c r="E977" s="6"/>
      <c r="F977" s="3">
        <v>0</v>
      </c>
      <c r="G977" s="3">
        <v>119217.88</v>
      </c>
    </row>
    <row r="978" spans="1:7" x14ac:dyDescent="0.2">
      <c r="A978" s="3">
        <v>2010</v>
      </c>
      <c r="B978" s="3">
        <v>428</v>
      </c>
      <c r="C978" s="3" t="str">
        <f>VLOOKUP(B978, '[1]DAR area codes'!A:B,2,FALSE)</f>
        <v>oahu</v>
      </c>
      <c r="E978" s="6">
        <v>145</v>
      </c>
      <c r="F978" s="3">
        <v>173.5</v>
      </c>
      <c r="G978" s="3">
        <v>13642.5</v>
      </c>
    </row>
    <row r="979" spans="1:7" x14ac:dyDescent="0.2">
      <c r="A979" s="3">
        <v>2010</v>
      </c>
      <c r="B979" s="3">
        <v>429</v>
      </c>
      <c r="C979" s="3" t="str">
        <f>VLOOKUP(B979, '[1]DAR area codes'!A:B,2,FALSE)</f>
        <v>oahu</v>
      </c>
      <c r="D979" s="4">
        <v>1648</v>
      </c>
      <c r="E979" s="6">
        <v>438</v>
      </c>
      <c r="F979" s="3">
        <v>47.5</v>
      </c>
      <c r="G979" s="3">
        <v>9849.4</v>
      </c>
    </row>
    <row r="980" spans="1:7" x14ac:dyDescent="0.2">
      <c r="A980" s="3">
        <v>2010</v>
      </c>
      <c r="B980" s="3">
        <v>500</v>
      </c>
      <c r="C980" s="3" t="str">
        <f>VLOOKUP(B980, '[1]DAR area codes'!A:B,2,FALSE)</f>
        <v>kauai</v>
      </c>
      <c r="D980" s="4">
        <v>1012.47</v>
      </c>
      <c r="E980" s="6">
        <v>3931.34</v>
      </c>
      <c r="F980" s="3">
        <v>246772.99999999997</v>
      </c>
      <c r="G980" s="3">
        <v>9609.7999999999993</v>
      </c>
    </row>
    <row r="981" spans="1:7" x14ac:dyDescent="0.2">
      <c r="A981" s="3">
        <v>2010</v>
      </c>
      <c r="B981" s="3">
        <v>501</v>
      </c>
      <c r="C981" s="3" t="str">
        <f>VLOOKUP(B981, '[1]DAR area codes'!A:B,2,FALSE)</f>
        <v>kauai</v>
      </c>
      <c r="D981" s="4">
        <v>328</v>
      </c>
      <c r="E981" s="6">
        <v>1807.5</v>
      </c>
      <c r="F981" s="3">
        <v>0</v>
      </c>
      <c r="G981" s="3">
        <v>987</v>
      </c>
    </row>
    <row r="982" spans="1:7" x14ac:dyDescent="0.2">
      <c r="A982" s="3">
        <v>2010</v>
      </c>
      <c r="B982" s="3">
        <v>502</v>
      </c>
      <c r="C982" s="3" t="str">
        <f>VLOOKUP(B982, '[1]DAR area codes'!A:B,2,FALSE)</f>
        <v>kauai</v>
      </c>
      <c r="D982" s="4">
        <v>484.5</v>
      </c>
      <c r="E982" s="6"/>
      <c r="F982" s="3">
        <v>0</v>
      </c>
      <c r="G982" s="3">
        <v>2452.6999999999998</v>
      </c>
    </row>
    <row r="983" spans="1:7" x14ac:dyDescent="0.2">
      <c r="A983" s="3">
        <v>2010</v>
      </c>
      <c r="B983" s="3">
        <v>503</v>
      </c>
      <c r="C983" s="3" t="str">
        <f>VLOOKUP(B983, '[1]DAR area codes'!A:B,2,FALSE)</f>
        <v>kauai</v>
      </c>
      <c r="D983" s="4">
        <v>1850</v>
      </c>
      <c r="E983" s="6">
        <v>1033.8</v>
      </c>
      <c r="F983" s="3">
        <v>1431.5</v>
      </c>
      <c r="G983" s="3">
        <v>3779</v>
      </c>
    </row>
    <row r="984" spans="1:7" x14ac:dyDescent="0.2">
      <c r="A984" s="3">
        <v>2010</v>
      </c>
      <c r="B984" s="3">
        <v>504</v>
      </c>
      <c r="C984" s="3" t="str">
        <f>VLOOKUP(B984, '[1]DAR area codes'!A:B,2,FALSE)</f>
        <v>kauai</v>
      </c>
      <c r="D984" s="4">
        <v>2845.25</v>
      </c>
      <c r="E984" s="6">
        <v>3483.15</v>
      </c>
      <c r="F984" s="3">
        <v>19571.349999999999</v>
      </c>
      <c r="G984" s="3">
        <v>26108.3</v>
      </c>
    </row>
    <row r="985" spans="1:7" x14ac:dyDescent="0.2">
      <c r="A985" s="3">
        <v>2010</v>
      </c>
      <c r="B985" s="3">
        <v>505</v>
      </c>
      <c r="C985" s="3" t="str">
        <f>VLOOKUP(B985, '[1]DAR area codes'!A:B,2,FALSE)</f>
        <v>kauai</v>
      </c>
      <c r="E985" s="6">
        <v>4359.3</v>
      </c>
      <c r="F985" s="3">
        <v>4840.5999999999995</v>
      </c>
      <c r="G985" s="3">
        <v>3257.5</v>
      </c>
    </row>
    <row r="986" spans="1:7" x14ac:dyDescent="0.2">
      <c r="A986" s="3">
        <v>2010</v>
      </c>
      <c r="B986" s="3">
        <v>506</v>
      </c>
      <c r="C986" s="3" t="str">
        <f>VLOOKUP(B986, '[1]DAR area codes'!A:B,2,FALSE)</f>
        <v>kauai</v>
      </c>
      <c r="D986" s="4">
        <v>1166</v>
      </c>
      <c r="E986" s="6">
        <v>6045.1</v>
      </c>
      <c r="F986" s="3">
        <v>20929.48</v>
      </c>
      <c r="G986" s="3">
        <v>6641.3</v>
      </c>
    </row>
    <row r="987" spans="1:7" x14ac:dyDescent="0.2">
      <c r="A987" s="3">
        <v>2010</v>
      </c>
      <c r="B987" s="3">
        <v>507</v>
      </c>
      <c r="C987" s="3" t="str">
        <f>VLOOKUP(B987, '[1]DAR area codes'!A:B,2,FALSE)</f>
        <v>kauai</v>
      </c>
      <c r="E987" s="6"/>
      <c r="F987" s="3">
        <v>0</v>
      </c>
      <c r="G987" s="3">
        <v>0</v>
      </c>
    </row>
    <row r="988" spans="1:7" x14ac:dyDescent="0.2">
      <c r="A988" s="3">
        <v>2010</v>
      </c>
      <c r="B988" s="3">
        <v>508</v>
      </c>
      <c r="C988" s="3" t="str">
        <f>VLOOKUP(B988, '[1]DAR area codes'!A:B,2,FALSE)</f>
        <v>kauai</v>
      </c>
      <c r="E988" s="6"/>
      <c r="F988" s="3">
        <v>406.9</v>
      </c>
      <c r="G988" s="3">
        <v>18908</v>
      </c>
    </row>
    <row r="989" spans="1:7" x14ac:dyDescent="0.2">
      <c r="A989" s="3">
        <v>2010</v>
      </c>
      <c r="B989" s="3">
        <v>520</v>
      </c>
      <c r="C989" s="3" t="str">
        <f>VLOOKUP(B989, '[1]DAR area codes'!A:B,2,FALSE)</f>
        <v>kauai</v>
      </c>
      <c r="D989" s="4">
        <v>553.1</v>
      </c>
      <c r="E989" s="6">
        <v>1855.5</v>
      </c>
      <c r="F989" s="3">
        <v>25925</v>
      </c>
      <c r="G989" s="3">
        <v>173035.69999999998</v>
      </c>
    </row>
    <row r="990" spans="1:7" x14ac:dyDescent="0.2">
      <c r="A990" s="3">
        <v>2010</v>
      </c>
      <c r="B990" s="3">
        <v>521</v>
      </c>
      <c r="C990" s="3" t="str">
        <f>VLOOKUP(B990, '[1]DAR area codes'!A:B,2,FALSE)</f>
        <v>kauai</v>
      </c>
      <c r="E990" s="6"/>
      <c r="F990" s="3">
        <v>0</v>
      </c>
      <c r="G990" s="3">
        <v>11331</v>
      </c>
    </row>
    <row r="991" spans="1:7" x14ac:dyDescent="0.2">
      <c r="A991" s="3">
        <v>2010</v>
      </c>
      <c r="B991" s="3">
        <v>522</v>
      </c>
      <c r="C991" s="3" t="str">
        <f>VLOOKUP(B991, '[1]DAR area codes'!A:B,2,FALSE)</f>
        <v>kauai</v>
      </c>
      <c r="E991" s="6"/>
      <c r="F991" s="3">
        <v>0</v>
      </c>
      <c r="G991" s="3">
        <v>7009</v>
      </c>
    </row>
    <row r="992" spans="1:7" x14ac:dyDescent="0.2">
      <c r="A992" s="3">
        <v>2010</v>
      </c>
      <c r="B992" s="3">
        <v>523</v>
      </c>
      <c r="C992" s="3" t="str">
        <f>VLOOKUP(B992, '[1]DAR area codes'!A:B,2,FALSE)</f>
        <v>kauai</v>
      </c>
      <c r="D992" s="4">
        <v>1672.6</v>
      </c>
      <c r="E992" s="6"/>
      <c r="F992" s="3">
        <v>0</v>
      </c>
      <c r="G992" s="3">
        <v>41781.25</v>
      </c>
    </row>
    <row r="993" spans="1:7" x14ac:dyDescent="0.2">
      <c r="A993" s="3">
        <v>2010</v>
      </c>
      <c r="B993" s="3">
        <v>524</v>
      </c>
      <c r="C993" s="3" t="str">
        <f>VLOOKUP(B993, '[1]DAR area codes'!A:B,2,FALSE)</f>
        <v>kauai</v>
      </c>
      <c r="D993" s="4">
        <v>1606.2</v>
      </c>
      <c r="E993" s="6">
        <v>3142</v>
      </c>
      <c r="F993" s="3">
        <v>6923.65</v>
      </c>
      <c r="G993" s="3">
        <v>166859.76</v>
      </c>
    </row>
    <row r="994" spans="1:7" x14ac:dyDescent="0.2">
      <c r="A994" s="3">
        <v>2010</v>
      </c>
      <c r="B994" s="3">
        <v>525</v>
      </c>
      <c r="C994" s="3" t="str">
        <f>VLOOKUP(B994, '[1]DAR area codes'!A:B,2,FALSE)</f>
        <v>kauai</v>
      </c>
      <c r="D994" s="4">
        <v>551</v>
      </c>
      <c r="E994" s="6">
        <v>896</v>
      </c>
      <c r="F994" s="3">
        <v>1513</v>
      </c>
      <c r="G994" s="3">
        <v>5592.5</v>
      </c>
    </row>
    <row r="995" spans="1:7" x14ac:dyDescent="0.2">
      <c r="A995" s="3">
        <v>2010</v>
      </c>
      <c r="B995" s="3">
        <v>526</v>
      </c>
      <c r="C995" s="3" t="str">
        <f>VLOOKUP(B995, '[1]DAR area codes'!A:B,2,FALSE)</f>
        <v>kauai</v>
      </c>
      <c r="D995" s="4">
        <v>2600.71</v>
      </c>
      <c r="E995" s="6">
        <v>3406</v>
      </c>
      <c r="F995" s="3">
        <v>1201.5</v>
      </c>
      <c r="G995" s="3">
        <v>12442</v>
      </c>
    </row>
    <row r="996" spans="1:7" x14ac:dyDescent="0.2">
      <c r="A996" s="3">
        <v>2010</v>
      </c>
      <c r="B996" s="3">
        <v>527</v>
      </c>
      <c r="C996" s="3" t="str">
        <f>VLOOKUP(B996, '[1]DAR area codes'!A:B,2,FALSE)</f>
        <v>kauai</v>
      </c>
      <c r="E996" s="6"/>
      <c r="F996" s="3">
        <v>0</v>
      </c>
      <c r="G996" s="3">
        <v>0</v>
      </c>
    </row>
    <row r="997" spans="1:7" x14ac:dyDescent="0.2">
      <c r="A997" s="3">
        <v>2010</v>
      </c>
      <c r="B997" s="3">
        <v>528</v>
      </c>
      <c r="C997" s="3" t="str">
        <f>VLOOKUP(B997, '[1]DAR area codes'!A:B,2,FALSE)</f>
        <v>kauai</v>
      </c>
      <c r="E997" s="6"/>
      <c r="F997" s="3">
        <v>0</v>
      </c>
      <c r="G997" s="3">
        <v>0</v>
      </c>
    </row>
    <row r="998" spans="1:7" x14ac:dyDescent="0.2">
      <c r="A998" s="3">
        <v>2009</v>
      </c>
      <c r="B998" s="3">
        <v>100</v>
      </c>
      <c r="C998" s="3" t="str">
        <f>VLOOKUP(B998, '[1]DAR area codes'!A:B,2,FALSE)</f>
        <v>hawaii</v>
      </c>
      <c r="D998" s="4">
        <v>7212.3</v>
      </c>
      <c r="E998" s="6">
        <v>521.1</v>
      </c>
      <c r="F998" s="3">
        <v>8306.7000000000007</v>
      </c>
      <c r="G998" s="3">
        <v>46452.7</v>
      </c>
    </row>
    <row r="999" spans="1:7" x14ac:dyDescent="0.2">
      <c r="A999" s="3">
        <v>2009</v>
      </c>
      <c r="B999" s="3">
        <v>101</v>
      </c>
      <c r="C999" s="3" t="str">
        <f>VLOOKUP(B999, '[1]DAR area codes'!A:B,2,FALSE)</f>
        <v>hawaii</v>
      </c>
      <c r="D999" s="4">
        <v>5771.5</v>
      </c>
      <c r="E999" s="6">
        <v>2657.5</v>
      </c>
      <c r="F999" s="3">
        <v>146262.39999999999</v>
      </c>
      <c r="G999" s="3">
        <v>133543.5</v>
      </c>
    </row>
    <row r="1000" spans="1:7" x14ac:dyDescent="0.2">
      <c r="A1000" s="3">
        <v>2009</v>
      </c>
      <c r="B1000" s="3">
        <v>102</v>
      </c>
      <c r="C1000" s="3" t="str">
        <f>VLOOKUP(B1000, '[1]DAR area codes'!A:B,2,FALSE)</f>
        <v>hawaii</v>
      </c>
      <c r="D1000" s="4">
        <v>7020.8</v>
      </c>
      <c r="E1000" s="6">
        <v>3709.1</v>
      </c>
      <c r="F1000" s="3">
        <v>11361.899999999998</v>
      </c>
      <c r="G1000" s="3">
        <v>33217.800000000003</v>
      </c>
    </row>
    <row r="1001" spans="1:7" x14ac:dyDescent="0.2">
      <c r="A1001" s="3">
        <v>2009</v>
      </c>
      <c r="B1001" s="3">
        <v>103</v>
      </c>
      <c r="C1001" s="3" t="str">
        <f>VLOOKUP(B1001, '[1]DAR area codes'!A:B,2,FALSE)</f>
        <v>hawaii</v>
      </c>
      <c r="D1001" s="4">
        <v>1080.4000000000001</v>
      </c>
      <c r="E1001" s="6">
        <v>1003.5</v>
      </c>
      <c r="F1001" s="3">
        <v>2976.4</v>
      </c>
      <c r="G1001" s="3">
        <v>6402.3</v>
      </c>
    </row>
    <row r="1002" spans="1:7" x14ac:dyDescent="0.2">
      <c r="A1002" s="3">
        <v>2009</v>
      </c>
      <c r="B1002" s="3">
        <v>104</v>
      </c>
      <c r="C1002" s="3" t="str">
        <f>VLOOKUP(B1002, '[1]DAR area codes'!A:B,2,FALSE)</f>
        <v>hawaii</v>
      </c>
      <c r="D1002" s="4">
        <v>745.1</v>
      </c>
      <c r="E1002" s="6"/>
      <c r="F1002" s="3">
        <v>3704.7999999999997</v>
      </c>
      <c r="G1002" s="3">
        <v>1693.1</v>
      </c>
    </row>
    <row r="1003" spans="1:7" x14ac:dyDescent="0.2">
      <c r="A1003" s="3">
        <v>2009</v>
      </c>
      <c r="B1003" s="3">
        <v>105</v>
      </c>
      <c r="C1003" s="3" t="str">
        <f>VLOOKUP(B1003, '[1]DAR area codes'!A:B,2,FALSE)</f>
        <v>hawaii</v>
      </c>
      <c r="D1003" s="4">
        <v>4087.5</v>
      </c>
      <c r="E1003" s="6">
        <v>360</v>
      </c>
      <c r="F1003" s="3">
        <v>16031.399999999998</v>
      </c>
      <c r="G1003" s="3">
        <v>9251</v>
      </c>
    </row>
    <row r="1004" spans="1:7" x14ac:dyDescent="0.2">
      <c r="A1004" s="3">
        <v>2009</v>
      </c>
      <c r="B1004" s="3">
        <v>106</v>
      </c>
      <c r="C1004" s="3" t="str">
        <f>VLOOKUP(B1004, '[1]DAR area codes'!A:B,2,FALSE)</f>
        <v>hawaii</v>
      </c>
      <c r="D1004" s="4">
        <v>4411.8999999999996</v>
      </c>
      <c r="E1004" s="6">
        <v>1059</v>
      </c>
      <c r="F1004" s="3">
        <v>17135.399999999998</v>
      </c>
      <c r="G1004" s="3">
        <v>88152.9</v>
      </c>
    </row>
    <row r="1005" spans="1:7" x14ac:dyDescent="0.2">
      <c r="A1005" s="3">
        <v>2009</v>
      </c>
      <c r="B1005" s="3">
        <v>107</v>
      </c>
      <c r="C1005" s="3" t="str">
        <f>VLOOKUP(B1005, '[1]DAR area codes'!A:B,2,FALSE)</f>
        <v>hawaii</v>
      </c>
      <c r="D1005" s="4">
        <v>1745.2</v>
      </c>
      <c r="E1005" s="6">
        <v>231.2</v>
      </c>
      <c r="F1005" s="3">
        <v>5656.1</v>
      </c>
      <c r="G1005" s="3">
        <v>30441.1</v>
      </c>
    </row>
    <row r="1006" spans="1:7" x14ac:dyDescent="0.2">
      <c r="A1006" s="3">
        <v>2009</v>
      </c>
      <c r="B1006" s="3">
        <v>108</v>
      </c>
      <c r="C1006" s="3" t="str">
        <f>VLOOKUP(B1006, '[1]DAR area codes'!A:B,2,FALSE)</f>
        <v>hawaii</v>
      </c>
      <c r="D1006" s="4">
        <v>2475.5</v>
      </c>
      <c r="E1006" s="6">
        <v>1084.9000000000001</v>
      </c>
      <c r="F1006" s="3">
        <v>4324.5</v>
      </c>
      <c r="G1006" s="3">
        <v>40223.1</v>
      </c>
    </row>
    <row r="1007" spans="1:7" x14ac:dyDescent="0.2">
      <c r="A1007" s="3">
        <v>2009</v>
      </c>
      <c r="B1007" s="3">
        <v>120</v>
      </c>
      <c r="C1007" s="3" t="str">
        <f>VLOOKUP(B1007, '[1]DAR area codes'!A:B,2,FALSE)</f>
        <v>hawaii</v>
      </c>
      <c r="D1007" s="4">
        <v>11219.2</v>
      </c>
      <c r="E1007" s="6">
        <v>575.79999999999995</v>
      </c>
      <c r="F1007" s="3">
        <v>245.2</v>
      </c>
      <c r="G1007" s="3">
        <v>65684.399999999994</v>
      </c>
    </row>
    <row r="1008" spans="1:7" x14ac:dyDescent="0.2">
      <c r="A1008" s="3">
        <v>2009</v>
      </c>
      <c r="B1008" s="3">
        <v>121</v>
      </c>
      <c r="C1008" s="3" t="str">
        <f>VLOOKUP(B1008, '[1]DAR area codes'!A:B,2,FALSE)</f>
        <v>hawaii</v>
      </c>
      <c r="D1008" s="4">
        <v>20553.3</v>
      </c>
      <c r="E1008" s="6">
        <v>2820.8</v>
      </c>
      <c r="F1008" s="3">
        <v>29131.599999999999</v>
      </c>
      <c r="G1008" s="3">
        <v>812587.8</v>
      </c>
    </row>
    <row r="1009" spans="1:7" x14ac:dyDescent="0.2">
      <c r="A1009" s="3">
        <v>2009</v>
      </c>
      <c r="B1009" s="3">
        <v>122</v>
      </c>
      <c r="C1009" s="3" t="str">
        <f>VLOOKUP(B1009, '[1]DAR area codes'!A:B,2,FALSE)</f>
        <v>hawaii</v>
      </c>
      <c r="D1009" s="4">
        <v>16368.4</v>
      </c>
      <c r="E1009" s="6">
        <v>3366.3</v>
      </c>
      <c r="F1009" s="3">
        <v>2401.1000000000004</v>
      </c>
      <c r="G1009" s="3">
        <v>137773.79999999999</v>
      </c>
    </row>
    <row r="1010" spans="1:7" x14ac:dyDescent="0.2">
      <c r="A1010" s="3">
        <v>2009</v>
      </c>
      <c r="B1010" s="3">
        <v>123</v>
      </c>
      <c r="C1010" s="3" t="str">
        <f>VLOOKUP(B1010, '[1]DAR area codes'!A:B,2,FALSE)</f>
        <v>hawaii</v>
      </c>
      <c r="E1010" s="6"/>
      <c r="F1010" s="3">
        <v>0</v>
      </c>
      <c r="G1010" s="3">
        <v>2312.4</v>
      </c>
    </row>
    <row r="1011" spans="1:7" x14ac:dyDescent="0.2">
      <c r="A1011" s="3">
        <v>2009</v>
      </c>
      <c r="B1011" s="3">
        <v>124</v>
      </c>
      <c r="C1011" s="3" t="str">
        <f>VLOOKUP(B1011, '[1]DAR area codes'!A:B,2,FALSE)</f>
        <v>hawaii</v>
      </c>
      <c r="D1011" s="4">
        <v>147.4</v>
      </c>
      <c r="E1011" s="6"/>
      <c r="F1011" s="3">
        <v>0</v>
      </c>
      <c r="G1011" s="3">
        <v>6194.1</v>
      </c>
    </row>
    <row r="1012" spans="1:7" x14ac:dyDescent="0.2">
      <c r="A1012" s="3">
        <v>2009</v>
      </c>
      <c r="B1012" s="3">
        <v>125</v>
      </c>
      <c r="C1012" s="3" t="str">
        <f>VLOOKUP(B1012, '[1]DAR area codes'!A:B,2,FALSE)</f>
        <v>hawaii</v>
      </c>
      <c r="D1012" s="4">
        <v>2480.9</v>
      </c>
      <c r="E1012" s="6">
        <v>333.7</v>
      </c>
      <c r="F1012" s="3">
        <v>806.4</v>
      </c>
      <c r="G1012" s="3">
        <v>117309.4</v>
      </c>
    </row>
    <row r="1013" spans="1:7" x14ac:dyDescent="0.2">
      <c r="A1013" s="3">
        <v>2009</v>
      </c>
      <c r="B1013" s="3">
        <v>126</v>
      </c>
      <c r="C1013" s="3" t="str">
        <f>VLOOKUP(B1013, '[1]DAR area codes'!A:B,2,FALSE)</f>
        <v>hawaii</v>
      </c>
      <c r="D1013" s="4">
        <v>492.1</v>
      </c>
      <c r="E1013" s="6">
        <v>126.9</v>
      </c>
      <c r="F1013" s="3">
        <v>3268.3999999999996</v>
      </c>
      <c r="G1013" s="3">
        <v>270038.5</v>
      </c>
    </row>
    <row r="1014" spans="1:7" x14ac:dyDescent="0.2">
      <c r="A1014" s="3">
        <v>2009</v>
      </c>
      <c r="B1014" s="3">
        <v>127</v>
      </c>
      <c r="C1014" s="3" t="str">
        <f>VLOOKUP(B1014, '[1]DAR area codes'!A:B,2,FALSE)</f>
        <v>hawaii</v>
      </c>
      <c r="D1014" s="4">
        <v>3216.9</v>
      </c>
      <c r="E1014" s="6"/>
      <c r="F1014" s="3">
        <v>0</v>
      </c>
      <c r="G1014" s="3">
        <v>33420.6</v>
      </c>
    </row>
    <row r="1015" spans="1:7" x14ac:dyDescent="0.2">
      <c r="A1015" s="3">
        <v>2009</v>
      </c>
      <c r="B1015" s="3">
        <v>128</v>
      </c>
      <c r="C1015" s="3" t="str">
        <f>VLOOKUP(B1015, '[1]DAR area codes'!A:B,2,FALSE)</f>
        <v>hawaii</v>
      </c>
      <c r="D1015" s="4">
        <v>946</v>
      </c>
      <c r="E1015" s="6"/>
      <c r="F1015" s="3">
        <v>0</v>
      </c>
      <c r="G1015" s="3">
        <v>4861.6000000000004</v>
      </c>
    </row>
    <row r="1016" spans="1:7" x14ac:dyDescent="0.2">
      <c r="A1016" s="3">
        <v>2009</v>
      </c>
      <c r="B1016" s="3">
        <v>300</v>
      </c>
      <c r="C1016" s="3" t="str">
        <f>VLOOKUP(B1016, '[1]DAR area codes'!A:B,2,FALSE)</f>
        <v>maui</v>
      </c>
      <c r="D1016" s="4">
        <v>64.3</v>
      </c>
      <c r="E1016" s="6">
        <v>2256.3000000000002</v>
      </c>
      <c r="F1016" s="3">
        <v>44567.7</v>
      </c>
      <c r="G1016" s="3">
        <v>1583.3</v>
      </c>
    </row>
    <row r="1017" spans="1:7" x14ac:dyDescent="0.2">
      <c r="A1017" s="3">
        <v>2009</v>
      </c>
      <c r="B1017" s="3">
        <v>301</v>
      </c>
      <c r="C1017" s="3" t="str">
        <f>VLOOKUP(B1017, '[1]DAR area codes'!A:B,2,FALSE)</f>
        <v>maui</v>
      </c>
      <c r="E1017" s="6">
        <v>651.1</v>
      </c>
      <c r="F1017" s="3">
        <v>2363.6000000000004</v>
      </c>
      <c r="G1017" s="3">
        <v>251</v>
      </c>
    </row>
    <row r="1018" spans="1:7" x14ac:dyDescent="0.2">
      <c r="A1018" s="3">
        <v>2009</v>
      </c>
      <c r="B1018" s="3">
        <v>302</v>
      </c>
      <c r="C1018" s="3" t="str">
        <f>VLOOKUP(B1018, '[1]DAR area codes'!A:B,2,FALSE)</f>
        <v>maui</v>
      </c>
      <c r="D1018" s="4">
        <v>4523.3</v>
      </c>
      <c r="E1018" s="6">
        <v>497.6</v>
      </c>
      <c r="F1018" s="3">
        <v>15852.699999999999</v>
      </c>
      <c r="G1018" s="3">
        <v>1750.2</v>
      </c>
    </row>
    <row r="1019" spans="1:7" x14ac:dyDescent="0.2">
      <c r="A1019" s="3">
        <v>2009</v>
      </c>
      <c r="B1019" s="3">
        <v>303</v>
      </c>
      <c r="C1019" s="3" t="str">
        <f>VLOOKUP(B1019, '[1]DAR area codes'!A:B,2,FALSE)</f>
        <v>maui</v>
      </c>
      <c r="D1019" s="4">
        <v>169</v>
      </c>
      <c r="E1019" s="6">
        <v>511</v>
      </c>
      <c r="F1019" s="3">
        <v>4702.3</v>
      </c>
      <c r="G1019" s="3">
        <v>1884.7</v>
      </c>
    </row>
    <row r="1020" spans="1:7" x14ac:dyDescent="0.2">
      <c r="A1020" s="3">
        <v>2009</v>
      </c>
      <c r="B1020" s="3">
        <v>304</v>
      </c>
      <c r="C1020" s="3" t="str">
        <f>VLOOKUP(B1020, '[1]DAR area codes'!A:B,2,FALSE)</f>
        <v>maui</v>
      </c>
      <c r="D1020" s="4">
        <v>2287</v>
      </c>
      <c r="E1020" s="6">
        <v>673</v>
      </c>
      <c r="F1020" s="3">
        <v>108.9</v>
      </c>
      <c r="G1020" s="3">
        <v>2273.8000000000002</v>
      </c>
    </row>
    <row r="1021" spans="1:7" x14ac:dyDescent="0.2">
      <c r="A1021" s="3">
        <v>2009</v>
      </c>
      <c r="B1021" s="3">
        <v>305</v>
      </c>
      <c r="C1021" s="3" t="str">
        <f>VLOOKUP(B1021, '[1]DAR area codes'!A:B,2,FALSE)</f>
        <v>maui</v>
      </c>
      <c r="D1021" s="4">
        <v>15048.1</v>
      </c>
      <c r="E1021" s="6">
        <v>2513.9</v>
      </c>
      <c r="F1021" s="3">
        <v>13412.519999999999</v>
      </c>
      <c r="G1021" s="3">
        <v>8160.0999999999995</v>
      </c>
    </row>
    <row r="1022" spans="1:7" x14ac:dyDescent="0.2">
      <c r="A1022" s="3">
        <v>2009</v>
      </c>
      <c r="B1022" s="3">
        <v>306</v>
      </c>
      <c r="C1022" s="3" t="str">
        <f>VLOOKUP(B1022, '[1]DAR area codes'!A:B,2,FALSE)</f>
        <v>maui</v>
      </c>
      <c r="D1022" s="4">
        <v>254</v>
      </c>
      <c r="E1022" s="6"/>
      <c r="F1022" s="3">
        <v>0</v>
      </c>
      <c r="G1022" s="3">
        <v>1608.2</v>
      </c>
    </row>
    <row r="1023" spans="1:7" x14ac:dyDescent="0.2">
      <c r="A1023" s="3">
        <v>2009</v>
      </c>
      <c r="B1023" s="3">
        <v>307</v>
      </c>
      <c r="C1023" s="3" t="str">
        <f>VLOOKUP(B1023, '[1]DAR area codes'!A:B,2,FALSE)</f>
        <v>maui</v>
      </c>
      <c r="E1023" s="6"/>
      <c r="F1023" s="3">
        <v>0</v>
      </c>
      <c r="G1023" s="3">
        <v>250.6</v>
      </c>
    </row>
    <row r="1024" spans="1:7" x14ac:dyDescent="0.2">
      <c r="A1024" s="3">
        <v>2009</v>
      </c>
      <c r="B1024" s="3">
        <v>308</v>
      </c>
      <c r="C1024" s="3" t="str">
        <f>VLOOKUP(B1024, '[1]DAR area codes'!A:B,2,FALSE)</f>
        <v>maui</v>
      </c>
      <c r="D1024" s="4">
        <v>5276.5</v>
      </c>
      <c r="E1024" s="6">
        <v>2149.1</v>
      </c>
      <c r="F1024" s="3">
        <v>1042.4000000000001</v>
      </c>
      <c r="G1024" s="3">
        <v>5535</v>
      </c>
    </row>
    <row r="1025" spans="1:7" x14ac:dyDescent="0.2">
      <c r="A1025" s="3">
        <v>2009</v>
      </c>
      <c r="B1025" s="3">
        <v>309</v>
      </c>
      <c r="C1025" s="3" t="str">
        <f>VLOOKUP(B1025, '[1]DAR area codes'!A:B,2,FALSE)</f>
        <v>maui</v>
      </c>
      <c r="D1025" s="4">
        <v>318.5</v>
      </c>
      <c r="E1025" s="6">
        <v>305.7</v>
      </c>
      <c r="F1025" s="3">
        <v>138.4</v>
      </c>
      <c r="G1025" s="3">
        <v>582</v>
      </c>
    </row>
    <row r="1026" spans="1:7" x14ac:dyDescent="0.2">
      <c r="A1026" s="3">
        <v>2009</v>
      </c>
      <c r="B1026" s="3">
        <v>310</v>
      </c>
      <c r="C1026" s="3" t="str">
        <f>VLOOKUP(B1026, '[1]DAR area codes'!A:B,2,FALSE)</f>
        <v>maui</v>
      </c>
      <c r="E1026" s="6">
        <v>1073.5</v>
      </c>
      <c r="F1026" s="3">
        <v>2039.8</v>
      </c>
      <c r="G1026" s="3">
        <v>808.3</v>
      </c>
    </row>
    <row r="1027" spans="1:7" x14ac:dyDescent="0.2">
      <c r="A1027" s="3">
        <v>2009</v>
      </c>
      <c r="B1027" s="3">
        <v>311</v>
      </c>
      <c r="C1027" s="3" t="str">
        <f>VLOOKUP(B1027, '[1]DAR area codes'!A:B,2,FALSE)</f>
        <v>maui</v>
      </c>
      <c r="E1027" s="6">
        <v>335</v>
      </c>
      <c r="F1027" s="3">
        <v>74.400000000000006</v>
      </c>
      <c r="G1027" s="3">
        <v>1168</v>
      </c>
    </row>
    <row r="1028" spans="1:7" x14ac:dyDescent="0.2">
      <c r="A1028" s="3">
        <v>2009</v>
      </c>
      <c r="B1028" s="3">
        <v>312</v>
      </c>
      <c r="C1028" s="3" t="str">
        <f>VLOOKUP(B1028, '[1]DAR area codes'!A:B,2,FALSE)</f>
        <v>maui</v>
      </c>
      <c r="D1028" s="4">
        <v>1382</v>
      </c>
      <c r="E1028" s="6"/>
      <c r="F1028" s="3">
        <v>295.10000000000002</v>
      </c>
      <c r="G1028" s="3">
        <v>648.5</v>
      </c>
    </row>
    <row r="1029" spans="1:7" x14ac:dyDescent="0.2">
      <c r="A1029" s="3">
        <v>2009</v>
      </c>
      <c r="B1029" s="3">
        <v>313</v>
      </c>
      <c r="C1029" s="3" t="str">
        <f>VLOOKUP(B1029, '[1]DAR area codes'!A:B,2,FALSE)</f>
        <v>maui</v>
      </c>
      <c r="D1029" s="4">
        <v>12321</v>
      </c>
      <c r="E1029" s="6">
        <v>638.6</v>
      </c>
      <c r="F1029" s="3">
        <v>101.1</v>
      </c>
      <c r="G1029" s="3">
        <v>3628.4</v>
      </c>
    </row>
    <row r="1030" spans="1:7" x14ac:dyDescent="0.2">
      <c r="A1030" s="3">
        <v>2009</v>
      </c>
      <c r="B1030" s="3">
        <v>314</v>
      </c>
      <c r="C1030" s="3" t="str">
        <f>VLOOKUP(B1030, '[1]DAR area codes'!A:B,2,FALSE)</f>
        <v>maui</v>
      </c>
      <c r="E1030" s="6">
        <v>616.4</v>
      </c>
      <c r="F1030" s="3">
        <v>20</v>
      </c>
      <c r="G1030" s="3">
        <v>1864.3</v>
      </c>
    </row>
    <row r="1031" spans="1:7" x14ac:dyDescent="0.2">
      <c r="A1031" s="3">
        <v>2009</v>
      </c>
      <c r="B1031" s="3">
        <v>320</v>
      </c>
      <c r="C1031" s="3" t="str">
        <f>VLOOKUP(B1031, '[1]DAR area codes'!A:B,2,FALSE)</f>
        <v>maui</v>
      </c>
      <c r="D1031" s="4">
        <v>29719.5</v>
      </c>
      <c r="E1031" s="6">
        <v>5054.8999999999996</v>
      </c>
      <c r="F1031" s="3">
        <v>30779.699999999997</v>
      </c>
      <c r="G1031" s="3">
        <v>12900.9</v>
      </c>
    </row>
    <row r="1032" spans="1:7" x14ac:dyDescent="0.2">
      <c r="A1032" s="3">
        <v>2009</v>
      </c>
      <c r="B1032" s="3">
        <v>321</v>
      </c>
      <c r="C1032" s="3" t="str">
        <f>VLOOKUP(B1032, '[1]DAR area codes'!A:B,2,FALSE)</f>
        <v>maui</v>
      </c>
      <c r="D1032" s="4">
        <v>15028.7</v>
      </c>
      <c r="E1032" s="6">
        <v>3384.6</v>
      </c>
      <c r="F1032" s="3">
        <v>1031.5999999999999</v>
      </c>
      <c r="G1032" s="3">
        <v>4868.5</v>
      </c>
    </row>
    <row r="1033" spans="1:7" x14ac:dyDescent="0.2">
      <c r="A1033" s="3">
        <v>2009</v>
      </c>
      <c r="B1033" s="3">
        <v>322</v>
      </c>
      <c r="C1033" s="3" t="str">
        <f>VLOOKUP(B1033, '[1]DAR area codes'!A:B,2,FALSE)</f>
        <v>maui</v>
      </c>
      <c r="D1033" s="4">
        <v>3593.2</v>
      </c>
      <c r="E1033" s="6"/>
      <c r="F1033" s="3">
        <v>0</v>
      </c>
      <c r="G1033" s="3">
        <v>27688.6</v>
      </c>
    </row>
    <row r="1034" spans="1:7" x14ac:dyDescent="0.2">
      <c r="A1034" s="3">
        <v>2009</v>
      </c>
      <c r="B1034" s="3">
        <v>323</v>
      </c>
      <c r="C1034" s="3" t="str">
        <f>VLOOKUP(B1034, '[1]DAR area codes'!A:B,2,FALSE)</f>
        <v>maui</v>
      </c>
      <c r="D1034" s="4">
        <v>2095.6999999999998</v>
      </c>
      <c r="E1034" s="6">
        <v>206</v>
      </c>
      <c r="F1034" s="3">
        <v>0</v>
      </c>
      <c r="G1034" s="3">
        <v>119967.4</v>
      </c>
    </row>
    <row r="1035" spans="1:7" x14ac:dyDescent="0.2">
      <c r="A1035" s="3">
        <v>2009</v>
      </c>
      <c r="B1035" s="3">
        <v>324</v>
      </c>
      <c r="C1035" s="3" t="str">
        <f>VLOOKUP(B1035, '[1]DAR area codes'!A:B,2,FALSE)</f>
        <v>maui</v>
      </c>
      <c r="D1035" s="4">
        <v>4911</v>
      </c>
      <c r="E1035" s="6">
        <v>254.1</v>
      </c>
      <c r="F1035" s="3">
        <v>126.8</v>
      </c>
      <c r="G1035" s="3">
        <v>90532.7</v>
      </c>
    </row>
    <row r="1036" spans="1:7" x14ac:dyDescent="0.2">
      <c r="A1036" s="3">
        <v>2009</v>
      </c>
      <c r="B1036" s="3">
        <v>325</v>
      </c>
      <c r="C1036" s="3" t="str">
        <f>VLOOKUP(B1036, '[1]DAR area codes'!A:B,2,FALSE)</f>
        <v>maui</v>
      </c>
      <c r="D1036" s="4">
        <v>1960.11</v>
      </c>
      <c r="E1036" s="6"/>
      <c r="F1036" s="3">
        <v>0</v>
      </c>
      <c r="G1036" s="3">
        <v>1441.2</v>
      </c>
    </row>
    <row r="1037" spans="1:7" x14ac:dyDescent="0.2">
      <c r="A1037" s="3">
        <v>2009</v>
      </c>
      <c r="B1037" s="3">
        <v>326</v>
      </c>
      <c r="C1037" s="3" t="str">
        <f>VLOOKUP(B1037, '[1]DAR area codes'!A:B,2,FALSE)</f>
        <v>maui</v>
      </c>
      <c r="E1037" s="6"/>
      <c r="F1037" s="3">
        <v>0</v>
      </c>
      <c r="G1037" s="3">
        <v>52552</v>
      </c>
    </row>
    <row r="1038" spans="1:7" x14ac:dyDescent="0.2">
      <c r="A1038" s="3">
        <v>2009</v>
      </c>
      <c r="B1038" s="3">
        <v>327</v>
      </c>
      <c r="C1038" s="3" t="str">
        <f>VLOOKUP(B1038, '[1]DAR area codes'!A:B,2,FALSE)</f>
        <v>maui</v>
      </c>
      <c r="D1038" s="4">
        <v>21084.9</v>
      </c>
      <c r="E1038" s="6">
        <v>2454.8000000000002</v>
      </c>
      <c r="F1038" s="3">
        <v>71</v>
      </c>
      <c r="G1038" s="3">
        <v>18787.5</v>
      </c>
    </row>
    <row r="1039" spans="1:7" x14ac:dyDescent="0.2">
      <c r="A1039" s="3">
        <v>2009</v>
      </c>
      <c r="B1039" s="3">
        <v>328</v>
      </c>
      <c r="C1039" s="3" t="str">
        <f>VLOOKUP(B1039, '[1]DAR area codes'!A:B,2,FALSE)</f>
        <v>maui</v>
      </c>
      <c r="D1039" s="4">
        <v>3968.6</v>
      </c>
      <c r="E1039" s="6">
        <v>1897.4</v>
      </c>
      <c r="F1039" s="3">
        <v>96</v>
      </c>
      <c r="G1039" s="3">
        <v>79598.600000000006</v>
      </c>
    </row>
    <row r="1040" spans="1:7" x14ac:dyDescent="0.2">
      <c r="A1040" s="3">
        <v>2009</v>
      </c>
      <c r="B1040" s="3">
        <v>331</v>
      </c>
      <c r="C1040" s="3" t="str">
        <f>VLOOKUP(B1040, '[1]DAR area codes'!A:B,2,FALSE)</f>
        <v>maui</v>
      </c>
      <c r="D1040" s="4">
        <v>47717.1</v>
      </c>
      <c r="E1040" s="6">
        <v>40754.1</v>
      </c>
      <c r="F1040" s="3">
        <v>1603.3</v>
      </c>
      <c r="G1040" s="3">
        <v>22500.5</v>
      </c>
    </row>
    <row r="1041" spans="1:7" x14ac:dyDescent="0.2">
      <c r="A1041" s="3">
        <v>2009</v>
      </c>
      <c r="B1041" s="3">
        <v>332</v>
      </c>
      <c r="C1041" s="3" t="str">
        <f>VLOOKUP(B1041, '[1]DAR area codes'!A:B,2,FALSE)</f>
        <v>maui</v>
      </c>
      <c r="D1041" s="4">
        <v>224.5</v>
      </c>
      <c r="E1041" s="6"/>
      <c r="F1041" s="3">
        <v>0</v>
      </c>
      <c r="G1041" s="3">
        <v>2119</v>
      </c>
    </row>
    <row r="1042" spans="1:7" x14ac:dyDescent="0.2">
      <c r="A1042" s="3">
        <v>2009</v>
      </c>
      <c r="B1042" s="3">
        <v>333</v>
      </c>
      <c r="C1042" s="3" t="str">
        <f>VLOOKUP(B1042, '[1]DAR area codes'!A:B,2,FALSE)</f>
        <v>maui</v>
      </c>
      <c r="D1042" s="4">
        <v>1881</v>
      </c>
      <c r="E1042" s="6"/>
      <c r="F1042" s="3">
        <v>0</v>
      </c>
      <c r="G1042" s="3">
        <v>1141.9000000000001</v>
      </c>
    </row>
    <row r="1043" spans="1:7" x14ac:dyDescent="0.2">
      <c r="A1043" s="3">
        <v>2009</v>
      </c>
      <c r="B1043" s="3">
        <v>400</v>
      </c>
      <c r="C1043" s="3" t="str">
        <f>VLOOKUP(B1043, '[1]DAR area codes'!A:B,2,FALSE)</f>
        <v>oahu</v>
      </c>
      <c r="D1043" s="4">
        <v>149.6</v>
      </c>
      <c r="E1043" s="6"/>
      <c r="F1043" s="3">
        <v>13587.7</v>
      </c>
      <c r="G1043" s="3">
        <v>1052.5</v>
      </c>
    </row>
    <row r="1044" spans="1:7" x14ac:dyDescent="0.2">
      <c r="A1044" s="3">
        <v>2009</v>
      </c>
      <c r="B1044" s="3">
        <v>401</v>
      </c>
      <c r="C1044" s="3" t="str">
        <f>VLOOKUP(B1044, '[1]DAR area codes'!A:B,2,FALSE)</f>
        <v>oahu</v>
      </c>
      <c r="D1044" s="4">
        <v>733.5</v>
      </c>
      <c r="E1044" s="6">
        <v>1940.8</v>
      </c>
      <c r="F1044" s="3">
        <v>56236.6</v>
      </c>
      <c r="G1044" s="3">
        <v>3552.9</v>
      </c>
    </row>
    <row r="1045" spans="1:7" x14ac:dyDescent="0.2">
      <c r="A1045" s="3">
        <v>2009</v>
      </c>
      <c r="B1045" s="3">
        <v>402</v>
      </c>
      <c r="C1045" s="3" t="str">
        <f>VLOOKUP(B1045, '[1]DAR area codes'!A:B,2,FALSE)</f>
        <v>oahu</v>
      </c>
      <c r="D1045" s="4">
        <v>248.3</v>
      </c>
      <c r="E1045" s="6">
        <v>5050.6000000000004</v>
      </c>
      <c r="F1045" s="3">
        <v>51902.7</v>
      </c>
      <c r="G1045" s="3">
        <v>1408.5</v>
      </c>
    </row>
    <row r="1046" spans="1:7" x14ac:dyDescent="0.2">
      <c r="A1046" s="3">
        <v>2009</v>
      </c>
      <c r="B1046" s="3">
        <v>403</v>
      </c>
      <c r="C1046" s="3" t="str">
        <f>VLOOKUP(B1046, '[1]DAR area codes'!A:B,2,FALSE)</f>
        <v>oahu</v>
      </c>
      <c r="D1046" s="4">
        <v>1131.0999999999999</v>
      </c>
      <c r="E1046" s="6">
        <v>5062.22</v>
      </c>
      <c r="F1046" s="3">
        <v>146972.80000000002</v>
      </c>
      <c r="G1046" s="3">
        <v>43501</v>
      </c>
    </row>
    <row r="1047" spans="1:7" x14ac:dyDescent="0.2">
      <c r="A1047" s="3">
        <v>2009</v>
      </c>
      <c r="B1047" s="3">
        <v>404</v>
      </c>
      <c r="C1047" s="3" t="str">
        <f>VLOOKUP(B1047, '[1]DAR area codes'!A:B,2,FALSE)</f>
        <v>oahu</v>
      </c>
      <c r="D1047" s="4">
        <v>1218</v>
      </c>
      <c r="E1047" s="6">
        <v>2418.1999999999998</v>
      </c>
      <c r="F1047" s="3">
        <v>75990.16</v>
      </c>
      <c r="G1047" s="3">
        <v>3428.7</v>
      </c>
    </row>
    <row r="1048" spans="1:7" x14ac:dyDescent="0.2">
      <c r="A1048" s="3">
        <v>2009</v>
      </c>
      <c r="B1048" s="3">
        <v>405</v>
      </c>
      <c r="C1048" s="3" t="str">
        <f>VLOOKUP(B1048, '[1]DAR area codes'!A:B,2,FALSE)</f>
        <v>oahu</v>
      </c>
      <c r="D1048" s="4">
        <v>300.2</v>
      </c>
      <c r="E1048" s="6">
        <v>791.8</v>
      </c>
      <c r="F1048" s="3">
        <v>13893.999999999998</v>
      </c>
      <c r="G1048" s="3">
        <v>640</v>
      </c>
    </row>
    <row r="1049" spans="1:7" x14ac:dyDescent="0.2">
      <c r="A1049" s="3">
        <v>2009</v>
      </c>
      <c r="B1049" s="3">
        <v>406</v>
      </c>
      <c r="C1049" s="3" t="str">
        <f>VLOOKUP(B1049, '[1]DAR area codes'!A:B,2,FALSE)</f>
        <v>oahu</v>
      </c>
      <c r="D1049" s="4">
        <v>435</v>
      </c>
      <c r="E1049" s="6"/>
      <c r="F1049" s="3">
        <v>25699.800000000003</v>
      </c>
      <c r="G1049" s="3">
        <v>0</v>
      </c>
    </row>
    <row r="1050" spans="1:7" x14ac:dyDescent="0.2">
      <c r="A1050" s="3">
        <v>2009</v>
      </c>
      <c r="B1050" s="3">
        <v>407</v>
      </c>
      <c r="C1050" s="3" t="str">
        <f>VLOOKUP(B1050, '[1]DAR area codes'!A:B,2,FALSE)</f>
        <v>oahu</v>
      </c>
      <c r="D1050" s="4">
        <v>265.5</v>
      </c>
      <c r="E1050" s="6">
        <v>705.7</v>
      </c>
      <c r="F1050" s="3">
        <v>38344.9</v>
      </c>
      <c r="G1050" s="3">
        <v>813</v>
      </c>
    </row>
    <row r="1051" spans="1:7" x14ac:dyDescent="0.2">
      <c r="A1051" s="3">
        <v>2009</v>
      </c>
      <c r="B1051" s="3">
        <v>408</v>
      </c>
      <c r="C1051" s="3" t="str">
        <f>VLOOKUP(B1051, '[1]DAR area codes'!A:B,2,FALSE)</f>
        <v>oahu</v>
      </c>
      <c r="E1051" s="6">
        <v>503.9</v>
      </c>
      <c r="F1051" s="3">
        <v>10194.4</v>
      </c>
      <c r="G1051" s="3">
        <v>369</v>
      </c>
    </row>
    <row r="1052" spans="1:7" x14ac:dyDescent="0.2">
      <c r="A1052" s="3">
        <v>2009</v>
      </c>
      <c r="B1052" s="3">
        <v>409</v>
      </c>
      <c r="C1052" s="3" t="str">
        <f>VLOOKUP(B1052, '[1]DAR area codes'!A:B,2,FALSE)</f>
        <v>oahu</v>
      </c>
      <c r="D1052" s="4">
        <v>91.3</v>
      </c>
      <c r="E1052" s="6">
        <v>902.5</v>
      </c>
      <c r="F1052" s="3">
        <v>17543.399999999998</v>
      </c>
      <c r="G1052" s="3">
        <v>907.5</v>
      </c>
    </row>
    <row r="1053" spans="1:7" x14ac:dyDescent="0.2">
      <c r="A1053" s="3">
        <v>2009</v>
      </c>
      <c r="B1053" s="3">
        <v>420</v>
      </c>
      <c r="C1053" s="3" t="str">
        <f>VLOOKUP(B1053, '[1]DAR area codes'!A:B,2,FALSE)</f>
        <v>oahu</v>
      </c>
      <c r="D1053" s="4">
        <v>220.5</v>
      </c>
      <c r="E1053" s="6">
        <v>157.9</v>
      </c>
      <c r="F1053" s="3">
        <v>2236.6999999999998</v>
      </c>
      <c r="G1053" s="3">
        <v>12243.5</v>
      </c>
    </row>
    <row r="1054" spans="1:7" x14ac:dyDescent="0.2">
      <c r="A1054" s="3">
        <v>2009</v>
      </c>
      <c r="B1054" s="3">
        <v>421</v>
      </c>
      <c r="C1054" s="3" t="str">
        <f>VLOOKUP(B1054, '[1]DAR area codes'!A:B,2,FALSE)</f>
        <v>oahu</v>
      </c>
      <c r="D1054" s="4">
        <v>506.5</v>
      </c>
      <c r="E1054" s="6">
        <v>727.4</v>
      </c>
      <c r="F1054" s="3">
        <v>453.8</v>
      </c>
      <c r="G1054" s="3">
        <v>236023.2</v>
      </c>
    </row>
    <row r="1055" spans="1:7" x14ac:dyDescent="0.2">
      <c r="A1055" s="3">
        <v>2009</v>
      </c>
      <c r="B1055" s="3">
        <v>422</v>
      </c>
      <c r="C1055" s="3" t="str">
        <f>VLOOKUP(B1055, '[1]DAR area codes'!A:B,2,FALSE)</f>
        <v>oahu</v>
      </c>
      <c r="D1055" s="4">
        <v>200.8</v>
      </c>
      <c r="E1055" s="6">
        <v>59</v>
      </c>
      <c r="F1055" s="3">
        <v>1905.8999999999999</v>
      </c>
      <c r="G1055" s="3">
        <v>193226.2</v>
      </c>
    </row>
    <row r="1056" spans="1:7" x14ac:dyDescent="0.2">
      <c r="A1056" s="3">
        <v>2009</v>
      </c>
      <c r="B1056" s="3">
        <v>423</v>
      </c>
      <c r="C1056" s="3" t="str">
        <f>VLOOKUP(B1056, '[1]DAR area codes'!A:B,2,FALSE)</f>
        <v>oahu</v>
      </c>
      <c r="D1056" s="4">
        <v>4655.3</v>
      </c>
      <c r="E1056" s="6">
        <v>1928.1</v>
      </c>
      <c r="F1056" s="3">
        <v>18740.8</v>
      </c>
      <c r="G1056" s="3">
        <v>398845.9</v>
      </c>
    </row>
    <row r="1057" spans="1:7" x14ac:dyDescent="0.2">
      <c r="A1057" s="3">
        <v>2009</v>
      </c>
      <c r="B1057" s="3">
        <v>424</v>
      </c>
      <c r="C1057" s="3" t="str">
        <f>VLOOKUP(B1057, '[1]DAR area codes'!A:B,2,FALSE)</f>
        <v>oahu</v>
      </c>
      <c r="D1057" s="4">
        <v>2249.6</v>
      </c>
      <c r="E1057" s="6">
        <v>823.2</v>
      </c>
      <c r="F1057" s="3">
        <v>1927.6</v>
      </c>
      <c r="G1057" s="3">
        <v>45425.9</v>
      </c>
    </row>
    <row r="1058" spans="1:7" x14ac:dyDescent="0.2">
      <c r="A1058" s="3">
        <v>2009</v>
      </c>
      <c r="B1058" s="3">
        <v>425</v>
      </c>
      <c r="C1058" s="3" t="str">
        <f>VLOOKUP(B1058, '[1]DAR area codes'!A:B,2,FALSE)</f>
        <v>oahu</v>
      </c>
      <c r="D1058" s="4">
        <v>458.5</v>
      </c>
      <c r="E1058" s="6"/>
      <c r="F1058" s="3">
        <v>0</v>
      </c>
      <c r="G1058" s="3">
        <v>182439.6</v>
      </c>
    </row>
    <row r="1059" spans="1:7" x14ac:dyDescent="0.2">
      <c r="A1059" s="3">
        <v>2009</v>
      </c>
      <c r="B1059" s="3">
        <v>426</v>
      </c>
      <c r="C1059" s="3" t="str">
        <f>VLOOKUP(B1059, '[1]DAR area codes'!A:B,2,FALSE)</f>
        <v>oahu</v>
      </c>
      <c r="E1059" s="6"/>
      <c r="F1059" s="3">
        <v>0</v>
      </c>
      <c r="G1059" s="3">
        <v>103748.29999999999</v>
      </c>
    </row>
    <row r="1060" spans="1:7" x14ac:dyDescent="0.2">
      <c r="A1060" s="3">
        <v>2009</v>
      </c>
      <c r="B1060" s="3">
        <v>427</v>
      </c>
      <c r="C1060" s="3" t="str">
        <f>VLOOKUP(B1060, '[1]DAR area codes'!A:B,2,FALSE)</f>
        <v>oahu</v>
      </c>
      <c r="D1060" s="4">
        <v>420.5</v>
      </c>
      <c r="E1060" s="6">
        <v>259.5</v>
      </c>
      <c r="F1060" s="3">
        <v>59.7</v>
      </c>
      <c r="G1060" s="3">
        <v>169784.1</v>
      </c>
    </row>
    <row r="1061" spans="1:7" x14ac:dyDescent="0.2">
      <c r="A1061" s="3">
        <v>2009</v>
      </c>
      <c r="B1061" s="3">
        <v>428</v>
      </c>
      <c r="C1061" s="3" t="str">
        <f>VLOOKUP(B1061, '[1]DAR area codes'!A:B,2,FALSE)</f>
        <v>oahu</v>
      </c>
      <c r="E1061" s="6"/>
      <c r="F1061" s="3">
        <v>0</v>
      </c>
      <c r="G1061" s="3">
        <v>20108</v>
      </c>
    </row>
    <row r="1062" spans="1:7" x14ac:dyDescent="0.2">
      <c r="A1062" s="3">
        <v>2009</v>
      </c>
      <c r="B1062" s="3">
        <v>429</v>
      </c>
      <c r="C1062" s="3" t="str">
        <f>VLOOKUP(B1062, '[1]DAR area codes'!A:B,2,FALSE)</f>
        <v>oahu</v>
      </c>
      <c r="D1062" s="4">
        <v>2164.3000000000002</v>
      </c>
      <c r="E1062" s="6">
        <v>1058.8</v>
      </c>
      <c r="F1062" s="3">
        <v>131.9</v>
      </c>
      <c r="G1062" s="3">
        <v>12880.5</v>
      </c>
    </row>
    <row r="1063" spans="1:7" x14ac:dyDescent="0.2">
      <c r="A1063" s="3">
        <v>2009</v>
      </c>
      <c r="B1063" s="3">
        <v>500</v>
      </c>
      <c r="C1063" s="3" t="str">
        <f>VLOOKUP(B1063, '[1]DAR area codes'!A:B,2,FALSE)</f>
        <v>kauai</v>
      </c>
      <c r="D1063" s="4">
        <v>831.4</v>
      </c>
      <c r="E1063" s="6">
        <v>3973.7</v>
      </c>
      <c r="F1063" s="3">
        <v>32174.199999999997</v>
      </c>
      <c r="G1063" s="3">
        <v>22047.5</v>
      </c>
    </row>
    <row r="1064" spans="1:7" x14ac:dyDescent="0.2">
      <c r="A1064" s="3">
        <v>2009</v>
      </c>
      <c r="B1064" s="3">
        <v>501</v>
      </c>
      <c r="C1064" s="3" t="str">
        <f>VLOOKUP(B1064, '[1]DAR area codes'!A:B,2,FALSE)</f>
        <v>kauai</v>
      </c>
      <c r="D1064" s="4">
        <v>456.8</v>
      </c>
      <c r="E1064" s="6">
        <v>2823.8</v>
      </c>
      <c r="F1064" s="3">
        <v>9132.6</v>
      </c>
      <c r="G1064" s="3">
        <v>2797.5</v>
      </c>
    </row>
    <row r="1065" spans="1:7" x14ac:dyDescent="0.2">
      <c r="A1065" s="3">
        <v>2009</v>
      </c>
      <c r="B1065" s="3">
        <v>502</v>
      </c>
      <c r="C1065" s="3" t="str">
        <f>VLOOKUP(B1065, '[1]DAR area codes'!A:B,2,FALSE)</f>
        <v>kauai</v>
      </c>
      <c r="D1065" s="4">
        <v>894</v>
      </c>
      <c r="E1065" s="6"/>
      <c r="F1065" s="3">
        <v>0</v>
      </c>
      <c r="G1065" s="3">
        <v>1859</v>
      </c>
    </row>
    <row r="1066" spans="1:7" x14ac:dyDescent="0.2">
      <c r="A1066" s="3">
        <v>2009</v>
      </c>
      <c r="B1066" s="3">
        <v>503</v>
      </c>
      <c r="C1066" s="3" t="str">
        <f>VLOOKUP(B1066, '[1]DAR area codes'!A:B,2,FALSE)</f>
        <v>kauai</v>
      </c>
      <c r="D1066" s="4">
        <v>859.3</v>
      </c>
      <c r="E1066" s="6">
        <v>274.39999999999998</v>
      </c>
      <c r="F1066" s="3">
        <v>17651.2</v>
      </c>
      <c r="G1066" s="3">
        <v>9725.5</v>
      </c>
    </row>
    <row r="1067" spans="1:7" x14ac:dyDescent="0.2">
      <c r="A1067" s="3">
        <v>2009</v>
      </c>
      <c r="B1067" s="3">
        <v>504</v>
      </c>
      <c r="C1067" s="3" t="str">
        <f>VLOOKUP(B1067, '[1]DAR area codes'!A:B,2,FALSE)</f>
        <v>kauai</v>
      </c>
      <c r="D1067" s="4">
        <v>1861.4</v>
      </c>
      <c r="E1067" s="6">
        <v>1834.7</v>
      </c>
      <c r="F1067" s="3">
        <v>35589.4</v>
      </c>
      <c r="G1067" s="3">
        <v>24351.7</v>
      </c>
    </row>
    <row r="1068" spans="1:7" x14ac:dyDescent="0.2">
      <c r="A1068" s="3">
        <v>2009</v>
      </c>
      <c r="B1068" s="3">
        <v>505</v>
      </c>
      <c r="C1068" s="3" t="str">
        <f>VLOOKUP(B1068, '[1]DAR area codes'!A:B,2,FALSE)</f>
        <v>kauai</v>
      </c>
      <c r="D1068" s="4">
        <v>327</v>
      </c>
      <c r="E1068" s="6">
        <v>2558.8000000000002</v>
      </c>
      <c r="F1068" s="3">
        <v>1011.9</v>
      </c>
      <c r="G1068" s="3">
        <v>6532.5</v>
      </c>
    </row>
    <row r="1069" spans="1:7" x14ac:dyDescent="0.2">
      <c r="A1069" s="3">
        <v>2009</v>
      </c>
      <c r="B1069" s="3">
        <v>506</v>
      </c>
      <c r="C1069" s="3" t="str">
        <f>VLOOKUP(B1069, '[1]DAR area codes'!A:B,2,FALSE)</f>
        <v>kauai</v>
      </c>
      <c r="D1069" s="4">
        <v>1827.3</v>
      </c>
      <c r="E1069" s="6">
        <v>941.5</v>
      </c>
      <c r="F1069" s="3">
        <v>5490.8</v>
      </c>
      <c r="G1069" s="3">
        <v>3119</v>
      </c>
    </row>
    <row r="1070" spans="1:7" x14ac:dyDescent="0.2">
      <c r="A1070" s="3">
        <v>2009</v>
      </c>
      <c r="B1070" s="3">
        <v>507</v>
      </c>
      <c r="C1070" s="3" t="str">
        <f>VLOOKUP(B1070, '[1]DAR area codes'!A:B,2,FALSE)</f>
        <v>kauai</v>
      </c>
      <c r="E1070" s="6"/>
      <c r="F1070" s="3">
        <v>0</v>
      </c>
      <c r="G1070" s="3">
        <v>0</v>
      </c>
    </row>
    <row r="1071" spans="1:7" x14ac:dyDescent="0.2">
      <c r="A1071" s="3">
        <v>2009</v>
      </c>
      <c r="B1071" s="3">
        <v>508</v>
      </c>
      <c r="C1071" s="3" t="str">
        <f>VLOOKUP(B1071, '[1]DAR area codes'!A:B,2,FALSE)</f>
        <v>kauai</v>
      </c>
      <c r="D1071" s="4">
        <v>1027</v>
      </c>
      <c r="E1071" s="6">
        <v>5438</v>
      </c>
      <c r="F1071" s="3">
        <v>0</v>
      </c>
      <c r="G1071" s="3">
        <v>29402</v>
      </c>
    </row>
    <row r="1072" spans="1:7" x14ac:dyDescent="0.2">
      <c r="A1072" s="3">
        <v>2009</v>
      </c>
      <c r="B1072" s="3">
        <v>520</v>
      </c>
      <c r="C1072" s="3" t="str">
        <f>VLOOKUP(B1072, '[1]DAR area codes'!A:B,2,FALSE)</f>
        <v>kauai</v>
      </c>
      <c r="D1072" s="4">
        <v>511.8</v>
      </c>
      <c r="E1072" s="6">
        <v>605</v>
      </c>
      <c r="F1072" s="3">
        <v>7016</v>
      </c>
      <c r="G1072" s="3">
        <v>214410.8</v>
      </c>
    </row>
    <row r="1073" spans="1:7" x14ac:dyDescent="0.2">
      <c r="A1073" s="3">
        <v>2009</v>
      </c>
      <c r="B1073" s="3">
        <v>521</v>
      </c>
      <c r="C1073" s="3" t="str">
        <f>VLOOKUP(B1073, '[1]DAR area codes'!A:B,2,FALSE)</f>
        <v>kauai</v>
      </c>
      <c r="D1073" s="4">
        <v>323.60000000000002</v>
      </c>
      <c r="E1073" s="6">
        <v>1570</v>
      </c>
      <c r="F1073" s="3">
        <v>6367</v>
      </c>
      <c r="G1073" s="3">
        <v>11547</v>
      </c>
    </row>
    <row r="1074" spans="1:7" x14ac:dyDescent="0.2">
      <c r="A1074" s="3">
        <v>2009</v>
      </c>
      <c r="B1074" s="3">
        <v>522</v>
      </c>
      <c r="C1074" s="3" t="str">
        <f>VLOOKUP(B1074, '[1]DAR area codes'!A:B,2,FALSE)</f>
        <v>kauai</v>
      </c>
      <c r="E1074" s="6"/>
      <c r="F1074" s="3">
        <v>0</v>
      </c>
      <c r="G1074" s="3">
        <v>18542.099999999999</v>
      </c>
    </row>
    <row r="1075" spans="1:7" x14ac:dyDescent="0.2">
      <c r="A1075" s="3">
        <v>2009</v>
      </c>
      <c r="B1075" s="3">
        <v>523</v>
      </c>
      <c r="C1075" s="3" t="str">
        <f>VLOOKUP(B1075, '[1]DAR area codes'!A:B,2,FALSE)</f>
        <v>kauai</v>
      </c>
      <c r="D1075" s="4">
        <v>1091.2</v>
      </c>
      <c r="E1075" s="6"/>
      <c r="F1075" s="3">
        <v>30</v>
      </c>
      <c r="G1075" s="3">
        <v>55087.8</v>
      </c>
    </row>
    <row r="1076" spans="1:7" x14ac:dyDescent="0.2">
      <c r="A1076" s="3">
        <v>2009</v>
      </c>
      <c r="B1076" s="3">
        <v>524</v>
      </c>
      <c r="C1076" s="3" t="str">
        <f>VLOOKUP(B1076, '[1]DAR area codes'!A:B,2,FALSE)</f>
        <v>kauai</v>
      </c>
      <c r="D1076" s="4">
        <v>1243.8</v>
      </c>
      <c r="E1076" s="6">
        <v>2226.9</v>
      </c>
      <c r="F1076" s="3">
        <v>2030.8</v>
      </c>
      <c r="G1076" s="3">
        <v>152888.5</v>
      </c>
    </row>
    <row r="1077" spans="1:7" x14ac:dyDescent="0.2">
      <c r="A1077" s="3">
        <v>2009</v>
      </c>
      <c r="B1077" s="3">
        <v>525</v>
      </c>
      <c r="C1077" s="3" t="str">
        <f>VLOOKUP(B1077, '[1]DAR area codes'!A:B,2,FALSE)</f>
        <v>kauai</v>
      </c>
      <c r="E1077" s="6">
        <v>1669</v>
      </c>
      <c r="F1077" s="3">
        <v>0</v>
      </c>
      <c r="G1077" s="3">
        <v>3768</v>
      </c>
    </row>
    <row r="1078" spans="1:7" x14ac:dyDescent="0.2">
      <c r="A1078" s="3">
        <v>2009</v>
      </c>
      <c r="B1078" s="3">
        <v>526</v>
      </c>
      <c r="C1078" s="3" t="str">
        <f>VLOOKUP(B1078, '[1]DAR area codes'!A:B,2,FALSE)</f>
        <v>kauai</v>
      </c>
      <c r="E1078" s="6">
        <v>704</v>
      </c>
      <c r="F1078" s="3">
        <v>0</v>
      </c>
      <c r="G1078" s="3">
        <v>2293</v>
      </c>
    </row>
    <row r="1079" spans="1:7" x14ac:dyDescent="0.2">
      <c r="A1079" s="3">
        <v>2009</v>
      </c>
      <c r="B1079" s="3">
        <v>527</v>
      </c>
      <c r="C1079" s="3" t="str">
        <f>VLOOKUP(B1079, '[1]DAR area codes'!A:B,2,FALSE)</f>
        <v>kauai</v>
      </c>
      <c r="E1079" s="6"/>
      <c r="F1079" s="3">
        <v>0</v>
      </c>
      <c r="G1079" s="3">
        <v>10736</v>
      </c>
    </row>
    <row r="1080" spans="1:7" x14ac:dyDescent="0.2">
      <c r="A1080" s="3">
        <v>2009</v>
      </c>
      <c r="B1080" s="3">
        <v>528</v>
      </c>
      <c r="C1080" s="3" t="str">
        <f>VLOOKUP(B1080, '[1]DAR area codes'!A:B,2,FALSE)</f>
        <v>kauai</v>
      </c>
      <c r="E1080" s="6"/>
      <c r="F1080" s="3">
        <v>0</v>
      </c>
      <c r="G1080" s="3">
        <v>2549</v>
      </c>
    </row>
    <row r="1081" spans="1:7" x14ac:dyDescent="0.2">
      <c r="A1081" s="3">
        <v>2008</v>
      </c>
      <c r="B1081" s="3">
        <v>100</v>
      </c>
      <c r="C1081" s="3" t="str">
        <f>VLOOKUP(B1081, '[1]DAR area codes'!A:B,2,FALSE)</f>
        <v>hawaii</v>
      </c>
      <c r="D1081" s="4">
        <v>2525.5</v>
      </c>
      <c r="E1081" s="6">
        <v>297.7</v>
      </c>
      <c r="F1081" s="3">
        <v>5010.5</v>
      </c>
      <c r="G1081" s="3">
        <v>35235.1</v>
      </c>
    </row>
    <row r="1082" spans="1:7" x14ac:dyDescent="0.2">
      <c r="A1082" s="3">
        <v>2008</v>
      </c>
      <c r="B1082" s="3">
        <v>101</v>
      </c>
      <c r="C1082" s="3" t="str">
        <f>VLOOKUP(B1082, '[1]DAR area codes'!A:B,2,FALSE)</f>
        <v>hawaii</v>
      </c>
      <c r="D1082" s="4">
        <v>7252.2</v>
      </c>
      <c r="E1082" s="6">
        <v>1733.5</v>
      </c>
      <c r="F1082" s="3">
        <v>105438.39999999999</v>
      </c>
      <c r="G1082" s="3">
        <v>153845.6</v>
      </c>
    </row>
    <row r="1083" spans="1:7" x14ac:dyDescent="0.2">
      <c r="A1083" s="3">
        <v>2008</v>
      </c>
      <c r="B1083" s="3">
        <v>102</v>
      </c>
      <c r="C1083" s="3" t="str">
        <f>VLOOKUP(B1083, '[1]DAR area codes'!A:B,2,FALSE)</f>
        <v>hawaii</v>
      </c>
      <c r="D1083" s="4">
        <v>9288.7000000000007</v>
      </c>
      <c r="E1083" s="6">
        <v>4319.8</v>
      </c>
      <c r="F1083" s="3">
        <v>11090.199999999999</v>
      </c>
      <c r="G1083" s="3">
        <v>18910.2</v>
      </c>
    </row>
    <row r="1084" spans="1:7" x14ac:dyDescent="0.2">
      <c r="A1084" s="3">
        <v>2008</v>
      </c>
      <c r="B1084" s="3">
        <v>103</v>
      </c>
      <c r="C1084" s="3" t="str">
        <f>VLOOKUP(B1084, '[1]DAR area codes'!A:B,2,FALSE)</f>
        <v>hawaii</v>
      </c>
      <c r="E1084" s="6">
        <v>315.7</v>
      </c>
      <c r="F1084" s="3">
        <v>1466.4</v>
      </c>
      <c r="G1084" s="3">
        <v>1534</v>
      </c>
    </row>
    <row r="1085" spans="1:7" x14ac:dyDescent="0.2">
      <c r="A1085" s="3">
        <v>2008</v>
      </c>
      <c r="B1085" s="3">
        <v>104</v>
      </c>
      <c r="C1085" s="3" t="str">
        <f>VLOOKUP(B1085, '[1]DAR area codes'!A:B,2,FALSE)</f>
        <v>hawaii</v>
      </c>
      <c r="E1085" s="6"/>
      <c r="F1085" s="3">
        <v>9665.07</v>
      </c>
      <c r="G1085" s="3">
        <v>590.5</v>
      </c>
    </row>
    <row r="1086" spans="1:7" x14ac:dyDescent="0.2">
      <c r="A1086" s="3">
        <v>2008</v>
      </c>
      <c r="B1086" s="3">
        <v>105</v>
      </c>
      <c r="C1086" s="3" t="str">
        <f>VLOOKUP(B1086, '[1]DAR area codes'!A:B,2,FALSE)</f>
        <v>hawaii</v>
      </c>
      <c r="D1086" s="4">
        <v>2433.3000000000002</v>
      </c>
      <c r="E1086" s="6">
        <v>199.7</v>
      </c>
      <c r="F1086" s="3">
        <v>9350.2999999999993</v>
      </c>
      <c r="G1086" s="3">
        <v>2994.6</v>
      </c>
    </row>
    <row r="1087" spans="1:7" x14ac:dyDescent="0.2">
      <c r="A1087" s="3">
        <v>2008</v>
      </c>
      <c r="B1087" s="3">
        <v>106</v>
      </c>
      <c r="C1087" s="3" t="str">
        <f>VLOOKUP(B1087, '[1]DAR area codes'!A:B,2,FALSE)</f>
        <v>hawaii</v>
      </c>
      <c r="D1087" s="4">
        <v>1306.5999999999999</v>
      </c>
      <c r="E1087" s="6">
        <v>618.79999999999995</v>
      </c>
      <c r="F1087" s="3">
        <v>9816.7000000000007</v>
      </c>
      <c r="G1087" s="3">
        <v>90890.700000000012</v>
      </c>
    </row>
    <row r="1088" spans="1:7" x14ac:dyDescent="0.2">
      <c r="A1088" s="3">
        <v>2008</v>
      </c>
      <c r="B1088" s="3">
        <v>107</v>
      </c>
      <c r="C1088" s="3" t="str">
        <f>VLOOKUP(B1088, '[1]DAR area codes'!A:B,2,FALSE)</f>
        <v>hawaii</v>
      </c>
      <c r="D1088" s="4">
        <v>940.8</v>
      </c>
      <c r="E1088" s="6"/>
      <c r="F1088" s="3">
        <v>11938.7</v>
      </c>
      <c r="G1088" s="3">
        <v>52998.400000000001</v>
      </c>
    </row>
    <row r="1089" spans="1:7" x14ac:dyDescent="0.2">
      <c r="A1089" s="3">
        <v>2008</v>
      </c>
      <c r="B1089" s="3">
        <v>108</v>
      </c>
      <c r="C1089" s="3" t="str">
        <f>VLOOKUP(B1089, '[1]DAR area codes'!A:B,2,FALSE)</f>
        <v>hawaii</v>
      </c>
      <c r="D1089" s="4">
        <v>995.6</v>
      </c>
      <c r="E1089" s="6">
        <v>1115.7</v>
      </c>
      <c r="F1089" s="3">
        <v>2141.4</v>
      </c>
      <c r="G1089" s="3">
        <v>26473.9</v>
      </c>
    </row>
    <row r="1090" spans="1:7" x14ac:dyDescent="0.2">
      <c r="A1090" s="3">
        <v>2008</v>
      </c>
      <c r="B1090" s="3">
        <v>120</v>
      </c>
      <c r="C1090" s="3" t="str">
        <f>VLOOKUP(B1090, '[1]DAR area codes'!A:B,2,FALSE)</f>
        <v>hawaii</v>
      </c>
      <c r="D1090" s="4">
        <v>3742</v>
      </c>
      <c r="E1090" s="6">
        <v>146.1</v>
      </c>
      <c r="F1090" s="3">
        <v>919.09999999999991</v>
      </c>
      <c r="G1090" s="3">
        <v>51497.9</v>
      </c>
    </row>
    <row r="1091" spans="1:7" x14ac:dyDescent="0.2">
      <c r="A1091" s="3">
        <v>2008</v>
      </c>
      <c r="B1091" s="3">
        <v>121</v>
      </c>
      <c r="C1091" s="3" t="str">
        <f>VLOOKUP(B1091, '[1]DAR area codes'!A:B,2,FALSE)</f>
        <v>hawaii</v>
      </c>
      <c r="D1091" s="4">
        <v>5670.5</v>
      </c>
      <c r="E1091" s="6">
        <v>2806.5</v>
      </c>
      <c r="F1091" s="3">
        <v>16313.199999999999</v>
      </c>
      <c r="G1091" s="3">
        <v>607112</v>
      </c>
    </row>
    <row r="1092" spans="1:7" x14ac:dyDescent="0.2">
      <c r="A1092" s="3">
        <v>2008</v>
      </c>
      <c r="B1092" s="3">
        <v>122</v>
      </c>
      <c r="C1092" s="3" t="str">
        <f>VLOOKUP(B1092, '[1]DAR area codes'!A:B,2,FALSE)</f>
        <v>hawaii</v>
      </c>
      <c r="D1092" s="4">
        <v>12518.4</v>
      </c>
      <c r="E1092" s="6">
        <v>2912.4</v>
      </c>
      <c r="F1092" s="3">
        <v>1011.5</v>
      </c>
      <c r="G1092" s="3">
        <v>88898.25</v>
      </c>
    </row>
    <row r="1093" spans="1:7" x14ac:dyDescent="0.2">
      <c r="A1093" s="3">
        <v>2008</v>
      </c>
      <c r="B1093" s="3">
        <v>123</v>
      </c>
      <c r="C1093" s="3" t="str">
        <f>VLOOKUP(B1093, '[1]DAR area codes'!A:B,2,FALSE)</f>
        <v>hawaii</v>
      </c>
      <c r="E1093" s="6"/>
      <c r="F1093" s="3">
        <v>0</v>
      </c>
      <c r="G1093" s="3">
        <v>3711</v>
      </c>
    </row>
    <row r="1094" spans="1:7" x14ac:dyDescent="0.2">
      <c r="A1094" s="3">
        <v>2008</v>
      </c>
      <c r="B1094" s="3">
        <v>124</v>
      </c>
      <c r="C1094" s="3" t="str">
        <f>VLOOKUP(B1094, '[1]DAR area codes'!A:B,2,FALSE)</f>
        <v>hawaii</v>
      </c>
      <c r="E1094" s="6"/>
      <c r="F1094" s="3">
        <v>0</v>
      </c>
      <c r="G1094" s="3">
        <v>38691</v>
      </c>
    </row>
    <row r="1095" spans="1:7" x14ac:dyDescent="0.2">
      <c r="A1095" s="3">
        <v>2008</v>
      </c>
      <c r="B1095" s="3">
        <v>125</v>
      </c>
      <c r="C1095" s="3" t="str">
        <f>VLOOKUP(B1095, '[1]DAR area codes'!A:B,2,FALSE)</f>
        <v>hawaii</v>
      </c>
      <c r="D1095" s="4">
        <v>629.70000000000005</v>
      </c>
      <c r="E1095" s="6">
        <v>239.6</v>
      </c>
      <c r="F1095" s="3">
        <v>512.20000000000005</v>
      </c>
      <c r="G1095" s="3">
        <v>269948.3</v>
      </c>
    </row>
    <row r="1096" spans="1:7" x14ac:dyDescent="0.2">
      <c r="A1096" s="3">
        <v>2008</v>
      </c>
      <c r="B1096" s="3">
        <v>126</v>
      </c>
      <c r="C1096" s="3" t="str">
        <f>VLOOKUP(B1096, '[1]DAR area codes'!A:B,2,FALSE)</f>
        <v>hawaii</v>
      </c>
      <c r="D1096" s="4">
        <v>176.6</v>
      </c>
      <c r="E1096" s="6">
        <v>395.3</v>
      </c>
      <c r="F1096" s="3">
        <v>700.2</v>
      </c>
      <c r="G1096" s="3">
        <v>145513.9</v>
      </c>
    </row>
    <row r="1097" spans="1:7" x14ac:dyDescent="0.2">
      <c r="A1097" s="3">
        <v>2008</v>
      </c>
      <c r="B1097" s="3">
        <v>127</v>
      </c>
      <c r="C1097" s="3" t="str">
        <f>VLOOKUP(B1097, '[1]DAR area codes'!A:B,2,FALSE)</f>
        <v>hawaii</v>
      </c>
      <c r="D1097" s="4">
        <v>4686.8</v>
      </c>
      <c r="E1097" s="6"/>
      <c r="F1097" s="3">
        <v>0</v>
      </c>
      <c r="G1097" s="3">
        <v>28264.7</v>
      </c>
    </row>
    <row r="1098" spans="1:7" x14ac:dyDescent="0.2">
      <c r="A1098" s="3">
        <v>2008</v>
      </c>
      <c r="B1098" s="3">
        <v>128</v>
      </c>
      <c r="C1098" s="3" t="str">
        <f>VLOOKUP(B1098, '[1]DAR area codes'!A:B,2,FALSE)</f>
        <v>hawaii</v>
      </c>
      <c r="E1098" s="6"/>
      <c r="F1098" s="3">
        <v>0</v>
      </c>
      <c r="G1098" s="3">
        <v>15388</v>
      </c>
    </row>
    <row r="1099" spans="1:7" x14ac:dyDescent="0.2">
      <c r="A1099" s="3">
        <v>2008</v>
      </c>
      <c r="B1099" s="3">
        <v>300</v>
      </c>
      <c r="C1099" s="3" t="str">
        <f>VLOOKUP(B1099, '[1]DAR area codes'!A:B,2,FALSE)</f>
        <v>maui</v>
      </c>
      <c r="E1099" s="6">
        <v>2725</v>
      </c>
      <c r="F1099" s="3">
        <v>45180.4</v>
      </c>
      <c r="G1099" s="3">
        <v>1660.1999999999998</v>
      </c>
    </row>
    <row r="1100" spans="1:7" x14ac:dyDescent="0.2">
      <c r="A1100" s="3">
        <v>2008</v>
      </c>
      <c r="B1100" s="3">
        <v>301</v>
      </c>
      <c r="C1100" s="3" t="str">
        <f>VLOOKUP(B1100, '[1]DAR area codes'!A:B,2,FALSE)</f>
        <v>maui</v>
      </c>
      <c r="D1100" s="4">
        <v>571</v>
      </c>
      <c r="E1100" s="6">
        <v>309.10000000000002</v>
      </c>
      <c r="F1100" s="3">
        <v>1886.5</v>
      </c>
      <c r="G1100" s="3">
        <v>216.4</v>
      </c>
    </row>
    <row r="1101" spans="1:7" x14ac:dyDescent="0.2">
      <c r="A1101" s="3">
        <v>2008</v>
      </c>
      <c r="B1101" s="3">
        <v>302</v>
      </c>
      <c r="C1101" s="3" t="str">
        <f>VLOOKUP(B1101, '[1]DAR area codes'!A:B,2,FALSE)</f>
        <v>maui</v>
      </c>
      <c r="D1101" s="4">
        <v>2861.9</v>
      </c>
      <c r="E1101" s="6">
        <v>675.5</v>
      </c>
      <c r="F1101" s="3">
        <v>20345.300000000003</v>
      </c>
      <c r="G1101" s="3">
        <v>3640.3</v>
      </c>
    </row>
    <row r="1102" spans="1:7" x14ac:dyDescent="0.2">
      <c r="A1102" s="3">
        <v>2008</v>
      </c>
      <c r="B1102" s="3">
        <v>303</v>
      </c>
      <c r="C1102" s="3" t="str">
        <f>VLOOKUP(B1102, '[1]DAR area codes'!A:B,2,FALSE)</f>
        <v>maui</v>
      </c>
      <c r="E1102" s="6"/>
      <c r="F1102" s="3">
        <v>598.6</v>
      </c>
      <c r="G1102" s="3">
        <v>5305.4</v>
      </c>
    </row>
    <row r="1103" spans="1:7" x14ac:dyDescent="0.2">
      <c r="A1103" s="3">
        <v>2008</v>
      </c>
      <c r="B1103" s="3">
        <v>304</v>
      </c>
      <c r="C1103" s="3" t="str">
        <f>VLOOKUP(B1103, '[1]DAR area codes'!A:B,2,FALSE)</f>
        <v>maui</v>
      </c>
      <c r="D1103" s="4">
        <v>1427.3</v>
      </c>
      <c r="E1103" s="6">
        <v>1779.6</v>
      </c>
      <c r="F1103" s="3">
        <v>531.29999999999995</v>
      </c>
      <c r="G1103" s="3">
        <v>26042.300000000003</v>
      </c>
    </row>
    <row r="1104" spans="1:7" x14ac:dyDescent="0.2">
      <c r="A1104" s="3">
        <v>2008</v>
      </c>
      <c r="B1104" s="3">
        <v>305</v>
      </c>
      <c r="C1104" s="3" t="str">
        <f>VLOOKUP(B1104, '[1]DAR area codes'!A:B,2,FALSE)</f>
        <v>maui</v>
      </c>
      <c r="D1104" s="4">
        <v>6861.9</v>
      </c>
      <c r="E1104" s="6">
        <v>5404.3</v>
      </c>
      <c r="F1104" s="3">
        <v>1721.7</v>
      </c>
      <c r="G1104" s="3">
        <v>7426.4</v>
      </c>
    </row>
    <row r="1105" spans="1:7" x14ac:dyDescent="0.2">
      <c r="A1105" s="3">
        <v>2008</v>
      </c>
      <c r="B1105" s="3">
        <v>306</v>
      </c>
      <c r="C1105" s="3" t="str">
        <f>VLOOKUP(B1105, '[1]DAR area codes'!A:B,2,FALSE)</f>
        <v>maui</v>
      </c>
      <c r="D1105" s="4">
        <v>1649.3</v>
      </c>
      <c r="E1105" s="6"/>
      <c r="F1105" s="3">
        <v>0</v>
      </c>
      <c r="G1105" s="3">
        <v>1475.7</v>
      </c>
    </row>
    <row r="1106" spans="1:7" x14ac:dyDescent="0.2">
      <c r="A1106" s="3">
        <v>2008</v>
      </c>
      <c r="B1106" s="3">
        <v>307</v>
      </c>
      <c r="C1106" s="3" t="str">
        <f>VLOOKUP(B1106, '[1]DAR area codes'!A:B,2,FALSE)</f>
        <v>maui</v>
      </c>
      <c r="E1106" s="6"/>
      <c r="F1106" s="3">
        <v>0</v>
      </c>
      <c r="G1106" s="3">
        <v>249</v>
      </c>
    </row>
    <row r="1107" spans="1:7" x14ac:dyDescent="0.2">
      <c r="A1107" s="3">
        <v>2008</v>
      </c>
      <c r="B1107" s="3">
        <v>308</v>
      </c>
      <c r="C1107" s="3" t="str">
        <f>VLOOKUP(B1107, '[1]DAR area codes'!A:B,2,FALSE)</f>
        <v>maui</v>
      </c>
      <c r="D1107" s="4">
        <v>5203.5</v>
      </c>
      <c r="E1107" s="6">
        <v>2382</v>
      </c>
      <c r="F1107" s="3">
        <v>1449</v>
      </c>
      <c r="G1107" s="3">
        <v>6494.8</v>
      </c>
    </row>
    <row r="1108" spans="1:7" x14ac:dyDescent="0.2">
      <c r="A1108" s="3">
        <v>2008</v>
      </c>
      <c r="B1108" s="3">
        <v>309</v>
      </c>
      <c r="C1108" s="3" t="str">
        <f>VLOOKUP(B1108, '[1]DAR area codes'!A:B,2,FALSE)</f>
        <v>maui</v>
      </c>
      <c r="E1108" s="6"/>
      <c r="F1108" s="3">
        <v>309</v>
      </c>
      <c r="G1108" s="3">
        <v>1098</v>
      </c>
    </row>
    <row r="1109" spans="1:7" x14ac:dyDescent="0.2">
      <c r="A1109" s="3">
        <v>2008</v>
      </c>
      <c r="B1109" s="3">
        <v>310</v>
      </c>
      <c r="C1109" s="3" t="str">
        <f>VLOOKUP(B1109, '[1]DAR area codes'!A:B,2,FALSE)</f>
        <v>maui</v>
      </c>
      <c r="E1109" s="6">
        <v>638.5</v>
      </c>
      <c r="F1109" s="3">
        <v>941.5</v>
      </c>
      <c r="G1109" s="3">
        <v>1467</v>
      </c>
    </row>
    <row r="1110" spans="1:7" x14ac:dyDescent="0.2">
      <c r="A1110" s="3">
        <v>2008</v>
      </c>
      <c r="B1110" s="3">
        <v>311</v>
      </c>
      <c r="C1110" s="3" t="str">
        <f>VLOOKUP(B1110, '[1]DAR area codes'!A:B,2,FALSE)</f>
        <v>maui</v>
      </c>
      <c r="E1110" s="6"/>
      <c r="F1110" s="3">
        <v>1856.6</v>
      </c>
      <c r="G1110" s="3">
        <v>1723</v>
      </c>
    </row>
    <row r="1111" spans="1:7" x14ac:dyDescent="0.2">
      <c r="A1111" s="3">
        <v>2008</v>
      </c>
      <c r="B1111" s="3">
        <v>312</v>
      </c>
      <c r="C1111" s="3" t="str">
        <f>VLOOKUP(B1111, '[1]DAR area codes'!A:B,2,FALSE)</f>
        <v>maui</v>
      </c>
      <c r="E1111" s="6"/>
      <c r="F1111" s="3">
        <v>0</v>
      </c>
      <c r="G1111" s="3">
        <v>637</v>
      </c>
    </row>
    <row r="1112" spans="1:7" x14ac:dyDescent="0.2">
      <c r="A1112" s="3">
        <v>2008</v>
      </c>
      <c r="B1112" s="3">
        <v>313</v>
      </c>
      <c r="C1112" s="3" t="str">
        <f>VLOOKUP(B1112, '[1]DAR area codes'!A:B,2,FALSE)</f>
        <v>maui</v>
      </c>
      <c r="D1112" s="4">
        <v>2953.6</v>
      </c>
      <c r="E1112" s="6">
        <v>383</v>
      </c>
      <c r="F1112" s="3">
        <v>36.9</v>
      </c>
      <c r="G1112" s="3">
        <v>2387.6</v>
      </c>
    </row>
    <row r="1113" spans="1:7" x14ac:dyDescent="0.2">
      <c r="A1113" s="3">
        <v>2008</v>
      </c>
      <c r="B1113" s="3">
        <v>314</v>
      </c>
      <c r="C1113" s="3" t="str">
        <f>VLOOKUP(B1113, '[1]DAR area codes'!A:B,2,FALSE)</f>
        <v>maui</v>
      </c>
      <c r="E1113" s="6"/>
      <c r="F1113" s="3">
        <v>0</v>
      </c>
      <c r="G1113" s="3">
        <v>1828.2</v>
      </c>
    </row>
    <row r="1114" spans="1:7" x14ac:dyDescent="0.2">
      <c r="A1114" s="3">
        <v>2008</v>
      </c>
      <c r="B1114" s="3">
        <v>320</v>
      </c>
      <c r="C1114" s="3" t="str">
        <f>VLOOKUP(B1114, '[1]DAR area codes'!A:B,2,FALSE)</f>
        <v>maui</v>
      </c>
      <c r="D1114" s="4">
        <v>23462.2</v>
      </c>
      <c r="E1114" s="6">
        <v>5119.7</v>
      </c>
      <c r="F1114" s="3">
        <v>25503.8</v>
      </c>
      <c r="G1114" s="3">
        <v>15376.8</v>
      </c>
    </row>
    <row r="1115" spans="1:7" x14ac:dyDescent="0.2">
      <c r="A1115" s="3">
        <v>2008</v>
      </c>
      <c r="B1115" s="3">
        <v>321</v>
      </c>
      <c r="C1115" s="3" t="str">
        <f>VLOOKUP(B1115, '[1]DAR area codes'!A:B,2,FALSE)</f>
        <v>maui</v>
      </c>
      <c r="D1115" s="4">
        <v>6169.2</v>
      </c>
      <c r="E1115" s="6">
        <v>3398.1</v>
      </c>
      <c r="F1115" s="3">
        <v>1130.0999999999999</v>
      </c>
      <c r="G1115" s="3">
        <v>3145.8</v>
      </c>
    </row>
    <row r="1116" spans="1:7" x14ac:dyDescent="0.2">
      <c r="A1116" s="3">
        <v>2008</v>
      </c>
      <c r="B1116" s="3">
        <v>322</v>
      </c>
      <c r="C1116" s="3" t="str">
        <f>VLOOKUP(B1116, '[1]DAR area codes'!A:B,2,FALSE)</f>
        <v>maui</v>
      </c>
      <c r="D1116" s="4">
        <v>3413.8</v>
      </c>
      <c r="E1116" s="6"/>
      <c r="F1116" s="3">
        <v>0</v>
      </c>
      <c r="G1116" s="3">
        <v>16016.3</v>
      </c>
    </row>
    <row r="1117" spans="1:7" x14ac:dyDescent="0.2">
      <c r="A1117" s="3">
        <v>2008</v>
      </c>
      <c r="B1117" s="3">
        <v>323</v>
      </c>
      <c r="C1117" s="3" t="str">
        <f>VLOOKUP(B1117, '[1]DAR area codes'!A:B,2,FALSE)</f>
        <v>maui</v>
      </c>
      <c r="E1117" s="6"/>
      <c r="F1117" s="3">
        <v>87</v>
      </c>
      <c r="G1117" s="3">
        <v>161314.70000000001</v>
      </c>
    </row>
    <row r="1118" spans="1:7" x14ac:dyDescent="0.2">
      <c r="A1118" s="3">
        <v>2008</v>
      </c>
      <c r="B1118" s="3">
        <v>324</v>
      </c>
      <c r="C1118" s="3" t="str">
        <f>VLOOKUP(B1118, '[1]DAR area codes'!A:B,2,FALSE)</f>
        <v>maui</v>
      </c>
      <c r="D1118" s="4">
        <v>3278.6</v>
      </c>
      <c r="E1118" s="6">
        <v>578.20000000000005</v>
      </c>
      <c r="F1118" s="3">
        <v>0</v>
      </c>
      <c r="G1118" s="3">
        <v>124285.4</v>
      </c>
    </row>
    <row r="1119" spans="1:7" x14ac:dyDescent="0.2">
      <c r="A1119" s="3">
        <v>2008</v>
      </c>
      <c r="B1119" s="3">
        <v>325</v>
      </c>
      <c r="C1119" s="3" t="str">
        <f>VLOOKUP(B1119, '[1]DAR area codes'!A:B,2,FALSE)</f>
        <v>maui</v>
      </c>
      <c r="D1119" s="4">
        <v>2467.9</v>
      </c>
      <c r="E1119" s="6"/>
      <c r="F1119" s="3">
        <v>0</v>
      </c>
      <c r="G1119" s="3">
        <v>6894.9</v>
      </c>
    </row>
    <row r="1120" spans="1:7" x14ac:dyDescent="0.2">
      <c r="A1120" s="3">
        <v>2008</v>
      </c>
      <c r="B1120" s="3">
        <v>326</v>
      </c>
      <c r="C1120" s="3" t="str">
        <f>VLOOKUP(B1120, '[1]DAR area codes'!A:B,2,FALSE)</f>
        <v>maui</v>
      </c>
      <c r="D1120" s="4">
        <v>523.9</v>
      </c>
      <c r="E1120" s="6"/>
      <c r="F1120" s="3">
        <v>0</v>
      </c>
      <c r="G1120" s="3">
        <v>7042.9</v>
      </c>
    </row>
    <row r="1121" spans="1:7" x14ac:dyDescent="0.2">
      <c r="A1121" s="3">
        <v>2008</v>
      </c>
      <c r="B1121" s="3">
        <v>327</v>
      </c>
      <c r="C1121" s="3" t="str">
        <f>VLOOKUP(B1121, '[1]DAR area codes'!A:B,2,FALSE)</f>
        <v>maui</v>
      </c>
      <c r="D1121" s="4">
        <v>13013.7</v>
      </c>
      <c r="E1121" s="6">
        <v>1366.5</v>
      </c>
      <c r="F1121" s="3">
        <v>27</v>
      </c>
      <c r="G1121" s="3">
        <v>13944.5</v>
      </c>
    </row>
    <row r="1122" spans="1:7" x14ac:dyDescent="0.2">
      <c r="A1122" s="3">
        <v>2008</v>
      </c>
      <c r="B1122" s="3">
        <v>328</v>
      </c>
      <c r="C1122" s="3" t="str">
        <f>VLOOKUP(B1122, '[1]DAR area codes'!A:B,2,FALSE)</f>
        <v>maui</v>
      </c>
      <c r="D1122" s="4">
        <v>1717</v>
      </c>
      <c r="E1122" s="6">
        <v>647.20000000000005</v>
      </c>
      <c r="F1122" s="3">
        <v>51</v>
      </c>
      <c r="G1122" s="3">
        <v>94091</v>
      </c>
    </row>
    <row r="1123" spans="1:7" x14ac:dyDescent="0.2">
      <c r="A1123" s="3">
        <v>2008</v>
      </c>
      <c r="B1123" s="3">
        <v>331</v>
      </c>
      <c r="C1123" s="3" t="str">
        <f>VLOOKUP(B1123, '[1]DAR area codes'!A:B,2,FALSE)</f>
        <v>maui</v>
      </c>
      <c r="D1123" s="4">
        <v>33989.699999999997</v>
      </c>
      <c r="E1123" s="6">
        <v>38293.599999999999</v>
      </c>
      <c r="F1123" s="3">
        <v>988</v>
      </c>
      <c r="G1123" s="3">
        <v>22711.899999999998</v>
      </c>
    </row>
    <row r="1124" spans="1:7" x14ac:dyDescent="0.2">
      <c r="A1124" s="3">
        <v>2008</v>
      </c>
      <c r="B1124" s="3">
        <v>332</v>
      </c>
      <c r="C1124" s="3" t="str">
        <f>VLOOKUP(B1124, '[1]DAR area codes'!A:B,2,FALSE)</f>
        <v>maui</v>
      </c>
      <c r="E1124" s="6"/>
      <c r="F1124" s="3">
        <v>0</v>
      </c>
      <c r="G1124" s="3">
        <v>4722</v>
      </c>
    </row>
    <row r="1125" spans="1:7" x14ac:dyDescent="0.2">
      <c r="A1125" s="3">
        <v>2008</v>
      </c>
      <c r="B1125" s="3">
        <v>333</v>
      </c>
      <c r="C1125" s="3" t="str">
        <f>VLOOKUP(B1125, '[1]DAR area codes'!A:B,2,FALSE)</f>
        <v>maui</v>
      </c>
      <c r="E1125" s="6"/>
      <c r="F1125" s="3">
        <v>0</v>
      </c>
      <c r="G1125" s="3">
        <v>3253.6000000000004</v>
      </c>
    </row>
    <row r="1126" spans="1:7" x14ac:dyDescent="0.2">
      <c r="A1126" s="3">
        <v>2008</v>
      </c>
      <c r="B1126" s="3">
        <v>400</v>
      </c>
      <c r="C1126" s="3" t="str">
        <f>VLOOKUP(B1126, '[1]DAR area codes'!A:B,2,FALSE)</f>
        <v>oahu</v>
      </c>
      <c r="D1126" s="4">
        <v>27</v>
      </c>
      <c r="E1126" s="6"/>
      <c r="F1126" s="3">
        <v>12407.7</v>
      </c>
      <c r="G1126" s="3">
        <v>132.5</v>
      </c>
    </row>
    <row r="1127" spans="1:7" x14ac:dyDescent="0.2">
      <c r="A1127" s="3">
        <v>2008</v>
      </c>
      <c r="B1127" s="3">
        <v>401</v>
      </c>
      <c r="C1127" s="3" t="str">
        <f>VLOOKUP(B1127, '[1]DAR area codes'!A:B,2,FALSE)</f>
        <v>oahu</v>
      </c>
      <c r="D1127" s="4">
        <v>1953</v>
      </c>
      <c r="E1127" s="6">
        <v>3012.2</v>
      </c>
      <c r="F1127" s="3">
        <v>48441.899999999994</v>
      </c>
      <c r="G1127" s="3">
        <v>4445.5</v>
      </c>
    </row>
    <row r="1128" spans="1:7" x14ac:dyDescent="0.2">
      <c r="A1128" s="3">
        <v>2008</v>
      </c>
      <c r="B1128" s="3">
        <v>402</v>
      </c>
      <c r="C1128" s="3" t="str">
        <f>VLOOKUP(B1128, '[1]DAR area codes'!A:B,2,FALSE)</f>
        <v>oahu</v>
      </c>
      <c r="D1128" s="4">
        <v>314</v>
      </c>
      <c r="E1128" s="6">
        <v>1278.9000000000001</v>
      </c>
      <c r="F1128" s="3">
        <v>66797.8</v>
      </c>
      <c r="G1128" s="3">
        <v>6491.5</v>
      </c>
    </row>
    <row r="1129" spans="1:7" x14ac:dyDescent="0.2">
      <c r="A1129" s="3">
        <v>2008</v>
      </c>
      <c r="B1129" s="3">
        <v>403</v>
      </c>
      <c r="C1129" s="3" t="str">
        <f>VLOOKUP(B1129, '[1]DAR area codes'!A:B,2,FALSE)</f>
        <v>oahu</v>
      </c>
      <c r="D1129" s="4">
        <v>1267.5</v>
      </c>
      <c r="E1129" s="6">
        <v>3279.7</v>
      </c>
      <c r="F1129" s="3">
        <v>114866.90000000002</v>
      </c>
      <c r="G1129" s="3">
        <v>32698.799999999999</v>
      </c>
    </row>
    <row r="1130" spans="1:7" x14ac:dyDescent="0.2">
      <c r="A1130" s="3">
        <v>2008</v>
      </c>
      <c r="B1130" s="3">
        <v>404</v>
      </c>
      <c r="C1130" s="3" t="str">
        <f>VLOOKUP(B1130, '[1]DAR area codes'!A:B,2,FALSE)</f>
        <v>oahu</v>
      </c>
      <c r="D1130" s="4">
        <v>2015</v>
      </c>
      <c r="E1130" s="6">
        <v>3688.1</v>
      </c>
      <c r="F1130" s="3">
        <v>82068.400000000009</v>
      </c>
      <c r="G1130" s="3">
        <v>16623.7</v>
      </c>
    </row>
    <row r="1131" spans="1:7" x14ac:dyDescent="0.2">
      <c r="A1131" s="3">
        <v>2008</v>
      </c>
      <c r="B1131" s="3">
        <v>405</v>
      </c>
      <c r="C1131" s="3" t="str">
        <f>VLOOKUP(B1131, '[1]DAR area codes'!A:B,2,FALSE)</f>
        <v>oahu</v>
      </c>
      <c r="D1131" s="4">
        <v>1391</v>
      </c>
      <c r="E1131" s="6">
        <v>971.9</v>
      </c>
      <c r="F1131" s="3">
        <v>16538</v>
      </c>
      <c r="G1131" s="3">
        <v>1505</v>
      </c>
    </row>
    <row r="1132" spans="1:7" x14ac:dyDescent="0.2">
      <c r="A1132" s="3">
        <v>2008</v>
      </c>
      <c r="B1132" s="3">
        <v>406</v>
      </c>
      <c r="C1132" s="3" t="str">
        <f>VLOOKUP(B1132, '[1]DAR area codes'!A:B,2,FALSE)</f>
        <v>oahu</v>
      </c>
      <c r="D1132" s="4">
        <v>669.5</v>
      </c>
      <c r="E1132" s="6"/>
      <c r="F1132" s="3">
        <v>14651.8</v>
      </c>
      <c r="G1132" s="3">
        <v>2504</v>
      </c>
    </row>
    <row r="1133" spans="1:7" x14ac:dyDescent="0.2">
      <c r="A1133" s="3">
        <v>2008</v>
      </c>
      <c r="B1133" s="3">
        <v>407</v>
      </c>
      <c r="C1133" s="3" t="str">
        <f>VLOOKUP(B1133, '[1]DAR area codes'!A:B,2,FALSE)</f>
        <v>oahu</v>
      </c>
      <c r="D1133" s="4">
        <v>1044.5</v>
      </c>
      <c r="E1133" s="6">
        <v>1038.5</v>
      </c>
      <c r="F1133" s="3">
        <v>33483.199999999997</v>
      </c>
      <c r="G1133" s="3">
        <v>2385.5</v>
      </c>
    </row>
    <row r="1134" spans="1:7" x14ac:dyDescent="0.2">
      <c r="A1134" s="3">
        <v>2008</v>
      </c>
      <c r="B1134" s="3">
        <v>408</v>
      </c>
      <c r="C1134" s="3" t="str">
        <f>VLOOKUP(B1134, '[1]DAR area codes'!A:B,2,FALSE)</f>
        <v>oahu</v>
      </c>
      <c r="E1134" s="6"/>
      <c r="F1134" s="3">
        <v>5554</v>
      </c>
      <c r="G1134" s="3">
        <v>600</v>
      </c>
    </row>
    <row r="1135" spans="1:7" x14ac:dyDescent="0.2">
      <c r="A1135" s="3">
        <v>2008</v>
      </c>
      <c r="B1135" s="3">
        <v>409</v>
      </c>
      <c r="C1135" s="3" t="str">
        <f>VLOOKUP(B1135, '[1]DAR area codes'!A:B,2,FALSE)</f>
        <v>oahu</v>
      </c>
      <c r="D1135" s="4">
        <v>64</v>
      </c>
      <c r="E1135" s="6">
        <v>745.9</v>
      </c>
      <c r="F1135" s="3">
        <v>28752.6</v>
      </c>
      <c r="G1135" s="3">
        <v>1625.5</v>
      </c>
    </row>
    <row r="1136" spans="1:7" x14ac:dyDescent="0.2">
      <c r="A1136" s="3">
        <v>2008</v>
      </c>
      <c r="B1136" s="3">
        <v>420</v>
      </c>
      <c r="C1136" s="3" t="str">
        <f>VLOOKUP(B1136, '[1]DAR area codes'!A:B,2,FALSE)</f>
        <v>oahu</v>
      </c>
      <c r="D1136" s="4">
        <v>669</v>
      </c>
      <c r="E1136" s="6"/>
      <c r="F1136" s="3">
        <v>0</v>
      </c>
      <c r="G1136" s="3">
        <v>13557.6</v>
      </c>
    </row>
    <row r="1137" spans="1:7" x14ac:dyDescent="0.2">
      <c r="A1137" s="3">
        <v>2008</v>
      </c>
      <c r="B1137" s="3">
        <v>421</v>
      </c>
      <c r="C1137" s="3" t="str">
        <f>VLOOKUP(B1137, '[1]DAR area codes'!A:B,2,FALSE)</f>
        <v>oahu</v>
      </c>
      <c r="D1137" s="4">
        <v>493</v>
      </c>
      <c r="E1137" s="6"/>
      <c r="F1137" s="3">
        <v>5030.5</v>
      </c>
      <c r="G1137" s="3">
        <v>137448.19999999998</v>
      </c>
    </row>
    <row r="1138" spans="1:7" x14ac:dyDescent="0.2">
      <c r="A1138" s="3">
        <v>2008</v>
      </c>
      <c r="B1138" s="3">
        <v>422</v>
      </c>
      <c r="C1138" s="3" t="str">
        <f>VLOOKUP(B1138, '[1]DAR area codes'!A:B,2,FALSE)</f>
        <v>oahu</v>
      </c>
      <c r="D1138" s="4">
        <v>397</v>
      </c>
      <c r="E1138" s="6"/>
      <c r="F1138" s="3">
        <v>3285.7</v>
      </c>
      <c r="G1138" s="3">
        <v>114391.59999999998</v>
      </c>
    </row>
    <row r="1139" spans="1:7" x14ac:dyDescent="0.2">
      <c r="A1139" s="3">
        <v>2008</v>
      </c>
      <c r="B1139" s="3">
        <v>423</v>
      </c>
      <c r="C1139" s="3" t="str">
        <f>VLOOKUP(B1139, '[1]DAR area codes'!A:B,2,FALSE)</f>
        <v>oahu</v>
      </c>
      <c r="D1139" s="4">
        <v>7510.3</v>
      </c>
      <c r="E1139" s="6">
        <v>1472.6</v>
      </c>
      <c r="F1139" s="3">
        <v>20983.899999999998</v>
      </c>
      <c r="G1139" s="3">
        <v>280420.19999999995</v>
      </c>
    </row>
    <row r="1140" spans="1:7" x14ac:dyDescent="0.2">
      <c r="A1140" s="3">
        <v>2008</v>
      </c>
      <c r="B1140" s="3">
        <v>424</v>
      </c>
      <c r="C1140" s="3" t="str">
        <f>VLOOKUP(B1140, '[1]DAR area codes'!A:B,2,FALSE)</f>
        <v>oahu</v>
      </c>
      <c r="D1140" s="4">
        <v>182.3</v>
      </c>
      <c r="E1140" s="6">
        <v>452</v>
      </c>
      <c r="F1140" s="3">
        <v>1477.5</v>
      </c>
      <c r="G1140" s="3">
        <v>57810</v>
      </c>
    </row>
    <row r="1141" spans="1:7" x14ac:dyDescent="0.2">
      <c r="A1141" s="3">
        <v>2008</v>
      </c>
      <c r="B1141" s="3">
        <v>425</v>
      </c>
      <c r="C1141" s="3" t="str">
        <f>VLOOKUP(B1141, '[1]DAR area codes'!A:B,2,FALSE)</f>
        <v>oahu</v>
      </c>
      <c r="D1141" s="4">
        <v>856.6</v>
      </c>
      <c r="E1141" s="6">
        <v>240</v>
      </c>
      <c r="F1141" s="3">
        <v>171</v>
      </c>
      <c r="G1141" s="3">
        <v>422269.7</v>
      </c>
    </row>
    <row r="1142" spans="1:7" x14ac:dyDescent="0.2">
      <c r="A1142" s="3">
        <v>2008</v>
      </c>
      <c r="B1142" s="3">
        <v>426</v>
      </c>
      <c r="C1142" s="3" t="str">
        <f>VLOOKUP(B1142, '[1]DAR area codes'!A:B,2,FALSE)</f>
        <v>oahu</v>
      </c>
      <c r="E1142" s="6"/>
      <c r="F1142" s="3">
        <v>0</v>
      </c>
      <c r="G1142" s="3">
        <v>188058.3</v>
      </c>
    </row>
    <row r="1143" spans="1:7" x14ac:dyDescent="0.2">
      <c r="A1143" s="3">
        <v>2008</v>
      </c>
      <c r="B1143" s="3">
        <v>427</v>
      </c>
      <c r="C1143" s="3" t="str">
        <f>VLOOKUP(B1143, '[1]DAR area codes'!A:B,2,FALSE)</f>
        <v>oahu</v>
      </c>
      <c r="D1143" s="4">
        <v>260</v>
      </c>
      <c r="E1143" s="6">
        <v>60.7</v>
      </c>
      <c r="F1143" s="3">
        <v>0</v>
      </c>
      <c r="G1143" s="3">
        <v>221206.59999999998</v>
      </c>
    </row>
    <row r="1144" spans="1:7" x14ac:dyDescent="0.2">
      <c r="A1144" s="3">
        <v>2008</v>
      </c>
      <c r="B1144" s="3">
        <v>428</v>
      </c>
      <c r="C1144" s="3" t="str">
        <f>VLOOKUP(B1144, '[1]DAR area codes'!A:B,2,FALSE)</f>
        <v>oahu</v>
      </c>
      <c r="E1144" s="6"/>
      <c r="F1144" s="3">
        <v>0</v>
      </c>
      <c r="G1144" s="3">
        <v>23590.9</v>
      </c>
    </row>
    <row r="1145" spans="1:7" x14ac:dyDescent="0.2">
      <c r="A1145" s="3">
        <v>2008</v>
      </c>
      <c r="B1145" s="3">
        <v>429</v>
      </c>
      <c r="C1145" s="3" t="str">
        <f>VLOOKUP(B1145, '[1]DAR area codes'!A:B,2,FALSE)</f>
        <v>oahu</v>
      </c>
      <c r="D1145" s="4">
        <v>2067.4</v>
      </c>
      <c r="E1145" s="6">
        <v>342.2</v>
      </c>
      <c r="F1145" s="3">
        <v>79.5</v>
      </c>
      <c r="G1145" s="3">
        <v>11262</v>
      </c>
    </row>
    <row r="1146" spans="1:7" x14ac:dyDescent="0.2">
      <c r="A1146" s="3">
        <v>2008</v>
      </c>
      <c r="B1146" s="3">
        <v>500</v>
      </c>
      <c r="C1146" s="3" t="str">
        <f>VLOOKUP(B1146, '[1]DAR area codes'!A:B,2,FALSE)</f>
        <v>kauai</v>
      </c>
      <c r="D1146" s="4">
        <v>806.8</v>
      </c>
      <c r="E1146" s="6">
        <v>3856.8</v>
      </c>
      <c r="F1146" s="3">
        <v>125191</v>
      </c>
      <c r="G1146" s="3">
        <v>23711.5</v>
      </c>
    </row>
    <row r="1147" spans="1:7" x14ac:dyDescent="0.2">
      <c r="A1147" s="3">
        <v>2008</v>
      </c>
      <c r="B1147" s="3">
        <v>501</v>
      </c>
      <c r="C1147" s="3" t="str">
        <f>VLOOKUP(B1147, '[1]DAR area codes'!A:B,2,FALSE)</f>
        <v>kauai</v>
      </c>
      <c r="D1147" s="4">
        <v>273.3</v>
      </c>
      <c r="E1147" s="6"/>
      <c r="F1147" s="3">
        <v>5857</v>
      </c>
      <c r="G1147" s="3">
        <v>5188.5</v>
      </c>
    </row>
    <row r="1148" spans="1:7" x14ac:dyDescent="0.2">
      <c r="A1148" s="3">
        <v>2008</v>
      </c>
      <c r="B1148" s="3">
        <v>502</v>
      </c>
      <c r="C1148" s="3" t="str">
        <f>VLOOKUP(B1148, '[1]DAR area codes'!A:B,2,FALSE)</f>
        <v>kauai</v>
      </c>
      <c r="E1148" s="6"/>
      <c r="F1148" s="3">
        <v>0</v>
      </c>
      <c r="G1148" s="3">
        <v>1052</v>
      </c>
    </row>
    <row r="1149" spans="1:7" x14ac:dyDescent="0.2">
      <c r="A1149" s="3">
        <v>2008</v>
      </c>
      <c r="B1149" s="3">
        <v>503</v>
      </c>
      <c r="C1149" s="3" t="str">
        <f>VLOOKUP(B1149, '[1]DAR area codes'!A:B,2,FALSE)</f>
        <v>kauai</v>
      </c>
      <c r="D1149" s="4">
        <v>777</v>
      </c>
      <c r="E1149" s="6">
        <v>275.8</v>
      </c>
      <c r="F1149" s="3">
        <v>51248.5</v>
      </c>
      <c r="G1149" s="3">
        <v>12602</v>
      </c>
    </row>
    <row r="1150" spans="1:7" x14ac:dyDescent="0.2">
      <c r="A1150" s="3">
        <v>2008</v>
      </c>
      <c r="B1150" s="3">
        <v>504</v>
      </c>
      <c r="C1150" s="3" t="str">
        <f>VLOOKUP(B1150, '[1]DAR area codes'!A:B,2,FALSE)</f>
        <v>kauai</v>
      </c>
      <c r="D1150" s="4">
        <v>1679.5</v>
      </c>
      <c r="E1150" s="6">
        <v>1652.4</v>
      </c>
      <c r="F1150" s="3">
        <v>18431.3</v>
      </c>
      <c r="G1150" s="3">
        <v>21132.400000000001</v>
      </c>
    </row>
    <row r="1151" spans="1:7" x14ac:dyDescent="0.2">
      <c r="A1151" s="3">
        <v>2008</v>
      </c>
      <c r="B1151" s="3">
        <v>505</v>
      </c>
      <c r="C1151" s="3" t="str">
        <f>VLOOKUP(B1151, '[1]DAR area codes'!A:B,2,FALSE)</f>
        <v>kauai</v>
      </c>
      <c r="D1151" s="4">
        <v>3779.1</v>
      </c>
      <c r="E1151" s="6">
        <v>10147.200000000001</v>
      </c>
      <c r="F1151" s="3">
        <v>1072.9000000000001</v>
      </c>
      <c r="G1151" s="3">
        <v>5651.1</v>
      </c>
    </row>
    <row r="1152" spans="1:7" x14ac:dyDescent="0.2">
      <c r="A1152" s="3">
        <v>2008</v>
      </c>
      <c r="B1152" s="3">
        <v>506</v>
      </c>
      <c r="C1152" s="3" t="str">
        <f>VLOOKUP(B1152, '[1]DAR area codes'!A:B,2,FALSE)</f>
        <v>kauai</v>
      </c>
      <c r="D1152" s="4">
        <v>1514</v>
      </c>
      <c r="E1152" s="6">
        <v>3781</v>
      </c>
      <c r="F1152" s="3">
        <v>2758</v>
      </c>
      <c r="G1152" s="3">
        <v>3707</v>
      </c>
    </row>
    <row r="1153" spans="1:7" x14ac:dyDescent="0.2">
      <c r="A1153" s="3">
        <v>2008</v>
      </c>
      <c r="B1153" s="3">
        <v>507</v>
      </c>
      <c r="C1153" s="3" t="str">
        <f>VLOOKUP(B1153, '[1]DAR area codes'!A:B,2,FALSE)</f>
        <v>kauai</v>
      </c>
      <c r="E1153" s="6"/>
      <c r="F1153" s="3">
        <v>0</v>
      </c>
      <c r="G1153" s="3">
        <v>0</v>
      </c>
    </row>
    <row r="1154" spans="1:7" x14ac:dyDescent="0.2">
      <c r="A1154" s="3">
        <v>2008</v>
      </c>
      <c r="B1154" s="3">
        <v>508</v>
      </c>
      <c r="C1154" s="3" t="str">
        <f>VLOOKUP(B1154, '[1]DAR area codes'!A:B,2,FALSE)</f>
        <v>kauai</v>
      </c>
      <c r="E1154" s="6">
        <v>7182</v>
      </c>
      <c r="F1154" s="3">
        <v>0</v>
      </c>
      <c r="G1154" s="3">
        <v>34967</v>
      </c>
    </row>
    <row r="1155" spans="1:7" x14ac:dyDescent="0.2">
      <c r="A1155" s="3">
        <v>2008</v>
      </c>
      <c r="B1155" s="3">
        <v>520</v>
      </c>
      <c r="C1155" s="3" t="str">
        <f>VLOOKUP(B1155, '[1]DAR area codes'!A:B,2,FALSE)</f>
        <v>kauai</v>
      </c>
      <c r="D1155" s="4">
        <v>655.1</v>
      </c>
      <c r="E1155" s="6">
        <v>575.5</v>
      </c>
      <c r="F1155" s="3">
        <v>2591</v>
      </c>
      <c r="G1155" s="3">
        <v>176318.5</v>
      </c>
    </row>
    <row r="1156" spans="1:7" x14ac:dyDescent="0.2">
      <c r="A1156" s="3">
        <v>2008</v>
      </c>
      <c r="B1156" s="3">
        <v>521</v>
      </c>
      <c r="C1156" s="3" t="str">
        <f>VLOOKUP(B1156, '[1]DAR area codes'!A:B,2,FALSE)</f>
        <v>kauai</v>
      </c>
      <c r="E1156" s="6"/>
      <c r="F1156" s="3">
        <v>0</v>
      </c>
      <c r="G1156" s="3">
        <v>17251.300000000003</v>
      </c>
    </row>
    <row r="1157" spans="1:7" x14ac:dyDescent="0.2">
      <c r="A1157" s="3">
        <v>2008</v>
      </c>
      <c r="B1157" s="3">
        <v>522</v>
      </c>
      <c r="C1157" s="3" t="str">
        <f>VLOOKUP(B1157, '[1]DAR area codes'!A:B,2,FALSE)</f>
        <v>kauai</v>
      </c>
      <c r="D1157" s="4">
        <v>164.5</v>
      </c>
      <c r="E1157" s="6"/>
      <c r="F1157" s="3">
        <v>0</v>
      </c>
      <c r="G1157" s="3">
        <v>12511</v>
      </c>
    </row>
    <row r="1158" spans="1:7" x14ac:dyDescent="0.2">
      <c r="A1158" s="3">
        <v>2008</v>
      </c>
      <c r="B1158" s="3">
        <v>523</v>
      </c>
      <c r="C1158" s="3" t="str">
        <f>VLOOKUP(B1158, '[1]DAR area codes'!A:B,2,FALSE)</f>
        <v>kauai</v>
      </c>
      <c r="E1158" s="6">
        <v>519</v>
      </c>
      <c r="F1158" s="3">
        <v>0</v>
      </c>
      <c r="G1158" s="3">
        <v>39740</v>
      </c>
    </row>
    <row r="1159" spans="1:7" x14ac:dyDescent="0.2">
      <c r="A1159" s="3">
        <v>2008</v>
      </c>
      <c r="B1159" s="3">
        <v>524</v>
      </c>
      <c r="C1159" s="3" t="str">
        <f>VLOOKUP(B1159, '[1]DAR area codes'!A:B,2,FALSE)</f>
        <v>kauai</v>
      </c>
      <c r="D1159" s="4">
        <v>709.7</v>
      </c>
      <c r="E1159" s="6">
        <v>1133.9000000000001</v>
      </c>
      <c r="F1159" s="3">
        <v>464.6</v>
      </c>
      <c r="G1159" s="3">
        <v>102278.9</v>
      </c>
    </row>
    <row r="1160" spans="1:7" x14ac:dyDescent="0.2">
      <c r="A1160" s="3">
        <v>2008</v>
      </c>
      <c r="B1160" s="3">
        <v>525</v>
      </c>
      <c r="C1160" s="3" t="str">
        <f>VLOOKUP(B1160, '[1]DAR area codes'!A:B,2,FALSE)</f>
        <v>kauai</v>
      </c>
      <c r="E1160" s="6"/>
      <c r="F1160" s="3">
        <v>0</v>
      </c>
      <c r="G1160" s="3">
        <v>1222.5</v>
      </c>
    </row>
    <row r="1161" spans="1:7" x14ac:dyDescent="0.2">
      <c r="A1161" s="3">
        <v>2008</v>
      </c>
      <c r="B1161" s="3">
        <v>526</v>
      </c>
      <c r="C1161" s="3" t="str">
        <f>VLOOKUP(B1161, '[1]DAR area codes'!A:B,2,FALSE)</f>
        <v>kauai</v>
      </c>
      <c r="E1161" s="6"/>
      <c r="F1161" s="3">
        <v>0</v>
      </c>
      <c r="G1161" s="3">
        <v>0</v>
      </c>
    </row>
    <row r="1162" spans="1:7" x14ac:dyDescent="0.2">
      <c r="A1162" s="3">
        <v>2008</v>
      </c>
      <c r="B1162" s="3">
        <v>527</v>
      </c>
      <c r="C1162" s="3" t="str">
        <f>VLOOKUP(B1162, '[1]DAR area codes'!A:B,2,FALSE)</f>
        <v>kauai</v>
      </c>
      <c r="E1162" s="6"/>
      <c r="F1162" s="3">
        <v>0</v>
      </c>
      <c r="G1162" s="3">
        <v>0</v>
      </c>
    </row>
    <row r="1163" spans="1:7" x14ac:dyDescent="0.2">
      <c r="A1163" s="3">
        <v>2008</v>
      </c>
      <c r="B1163" s="3">
        <v>528</v>
      </c>
      <c r="C1163" s="3" t="str">
        <f>VLOOKUP(B1163, '[1]DAR area codes'!A:B,2,FALSE)</f>
        <v>kauai</v>
      </c>
      <c r="E1163" s="6"/>
      <c r="F1163" s="3">
        <v>0</v>
      </c>
      <c r="G1163" s="3">
        <v>0</v>
      </c>
    </row>
    <row r="1164" spans="1:7" x14ac:dyDescent="0.2">
      <c r="A1164" s="3">
        <v>2007</v>
      </c>
      <c r="B1164" s="3">
        <v>100</v>
      </c>
      <c r="C1164" s="3" t="str">
        <f>VLOOKUP(B1164, '[1]DAR area codes'!A:B,2,FALSE)</f>
        <v>hawaii</v>
      </c>
      <c r="D1164" s="4">
        <v>1309</v>
      </c>
      <c r="E1164" s="6">
        <v>655.4</v>
      </c>
      <c r="F1164" s="3">
        <v>3707.9999999999995</v>
      </c>
      <c r="G1164" s="3">
        <v>44206.5</v>
      </c>
    </row>
    <row r="1165" spans="1:7" x14ac:dyDescent="0.2">
      <c r="A1165" s="3">
        <v>2007</v>
      </c>
      <c r="B1165" s="3">
        <v>101</v>
      </c>
      <c r="C1165" s="3" t="str">
        <f>VLOOKUP(B1165, '[1]DAR area codes'!A:B,2,FALSE)</f>
        <v>hawaii</v>
      </c>
      <c r="D1165" s="4">
        <v>4334.3999999999996</v>
      </c>
      <c r="E1165" s="6">
        <v>2351.8000000000002</v>
      </c>
      <c r="F1165" s="3">
        <v>173089.9</v>
      </c>
      <c r="G1165" s="3">
        <v>194059.4</v>
      </c>
    </row>
    <row r="1166" spans="1:7" x14ac:dyDescent="0.2">
      <c r="A1166" s="3">
        <v>2007</v>
      </c>
      <c r="B1166" s="3">
        <v>102</v>
      </c>
      <c r="C1166" s="3" t="str">
        <f>VLOOKUP(B1166, '[1]DAR area codes'!A:B,2,FALSE)</f>
        <v>hawaii</v>
      </c>
      <c r="D1166" s="4">
        <v>7890.4</v>
      </c>
      <c r="E1166" s="6">
        <v>4271</v>
      </c>
      <c r="F1166" s="3">
        <v>6233.2</v>
      </c>
      <c r="G1166" s="3">
        <v>20536.7</v>
      </c>
    </row>
    <row r="1167" spans="1:7" x14ac:dyDescent="0.2">
      <c r="A1167" s="3">
        <v>2007</v>
      </c>
      <c r="B1167" s="3">
        <v>103</v>
      </c>
      <c r="C1167" s="3" t="str">
        <f>VLOOKUP(B1167, '[1]DAR area codes'!A:B,2,FALSE)</f>
        <v>hawaii</v>
      </c>
      <c r="E1167" s="6">
        <v>201</v>
      </c>
      <c r="F1167" s="3">
        <v>893.2</v>
      </c>
      <c r="G1167" s="3">
        <v>1903</v>
      </c>
    </row>
    <row r="1168" spans="1:7" x14ac:dyDescent="0.2">
      <c r="A1168" s="3">
        <v>2007</v>
      </c>
      <c r="B1168" s="3">
        <v>104</v>
      </c>
      <c r="C1168" s="3" t="str">
        <f>VLOOKUP(B1168, '[1]DAR area codes'!A:B,2,FALSE)</f>
        <v>hawaii</v>
      </c>
      <c r="E1168" s="6"/>
      <c r="F1168" s="3">
        <v>8896.7999999999993</v>
      </c>
      <c r="G1168" s="3">
        <v>141</v>
      </c>
    </row>
    <row r="1169" spans="1:7" x14ac:dyDescent="0.2">
      <c r="A1169" s="3">
        <v>2007</v>
      </c>
      <c r="B1169" s="3">
        <v>105</v>
      </c>
      <c r="C1169" s="3" t="str">
        <f>VLOOKUP(B1169, '[1]DAR area codes'!A:B,2,FALSE)</f>
        <v>hawaii</v>
      </c>
      <c r="D1169" s="4">
        <v>2447.1999999999998</v>
      </c>
      <c r="E1169" s="6">
        <v>300.3</v>
      </c>
      <c r="F1169" s="3">
        <v>17744.7</v>
      </c>
      <c r="G1169" s="3">
        <v>7415.5</v>
      </c>
    </row>
    <row r="1170" spans="1:7" x14ac:dyDescent="0.2">
      <c r="A1170" s="3">
        <v>2007</v>
      </c>
      <c r="B1170" s="3">
        <v>106</v>
      </c>
      <c r="C1170" s="3" t="str">
        <f>VLOOKUP(B1170, '[1]DAR area codes'!A:B,2,FALSE)</f>
        <v>hawaii</v>
      </c>
      <c r="D1170" s="4">
        <v>666.8</v>
      </c>
      <c r="E1170" s="6">
        <v>537.9</v>
      </c>
      <c r="F1170" s="3">
        <v>10212.6</v>
      </c>
      <c r="G1170" s="3">
        <v>63512.2</v>
      </c>
    </row>
    <row r="1171" spans="1:7" x14ac:dyDescent="0.2">
      <c r="A1171" s="3">
        <v>2007</v>
      </c>
      <c r="B1171" s="3">
        <v>107</v>
      </c>
      <c r="C1171" s="3" t="str">
        <f>VLOOKUP(B1171, '[1]DAR area codes'!A:B,2,FALSE)</f>
        <v>hawaii</v>
      </c>
      <c r="D1171" s="4">
        <v>5702.6</v>
      </c>
      <c r="E1171" s="6"/>
      <c r="F1171" s="3">
        <v>3680.2000000000003</v>
      </c>
      <c r="G1171" s="3">
        <v>69374.600000000006</v>
      </c>
    </row>
    <row r="1172" spans="1:7" x14ac:dyDescent="0.2">
      <c r="A1172" s="3">
        <v>2007</v>
      </c>
      <c r="B1172" s="3">
        <v>108</v>
      </c>
      <c r="C1172" s="3" t="str">
        <f>VLOOKUP(B1172, '[1]DAR area codes'!A:B,2,FALSE)</f>
        <v>hawaii</v>
      </c>
      <c r="D1172" s="4">
        <v>1251</v>
      </c>
      <c r="E1172" s="6"/>
      <c r="F1172" s="3">
        <v>1463.9</v>
      </c>
      <c r="G1172" s="3">
        <v>21477.5</v>
      </c>
    </row>
    <row r="1173" spans="1:7" x14ac:dyDescent="0.2">
      <c r="A1173" s="3">
        <v>2007</v>
      </c>
      <c r="B1173" s="3">
        <v>120</v>
      </c>
      <c r="C1173" s="3" t="str">
        <f>VLOOKUP(B1173, '[1]DAR area codes'!A:B,2,FALSE)</f>
        <v>hawaii</v>
      </c>
      <c r="D1173" s="4">
        <v>3606.4</v>
      </c>
      <c r="E1173" s="6">
        <v>9994.9</v>
      </c>
      <c r="F1173" s="3">
        <v>8712.8500000000022</v>
      </c>
      <c r="G1173" s="3">
        <v>71157.2</v>
      </c>
    </row>
    <row r="1174" spans="1:7" x14ac:dyDescent="0.2">
      <c r="A1174" s="3">
        <v>2007</v>
      </c>
      <c r="B1174" s="3">
        <v>121</v>
      </c>
      <c r="C1174" s="3" t="str">
        <f>VLOOKUP(B1174, '[1]DAR area codes'!A:B,2,FALSE)</f>
        <v>hawaii</v>
      </c>
      <c r="D1174" s="4">
        <v>5236.1000000000004</v>
      </c>
      <c r="E1174" s="6">
        <v>1517.9</v>
      </c>
      <c r="F1174" s="3">
        <v>24568.199999999997</v>
      </c>
      <c r="G1174" s="3">
        <v>631154.5</v>
      </c>
    </row>
    <row r="1175" spans="1:7" x14ac:dyDescent="0.2">
      <c r="A1175" s="3">
        <v>2007</v>
      </c>
      <c r="B1175" s="3">
        <v>122</v>
      </c>
      <c r="C1175" s="3" t="str">
        <f>VLOOKUP(B1175, '[1]DAR area codes'!A:B,2,FALSE)</f>
        <v>hawaii</v>
      </c>
      <c r="D1175" s="4">
        <v>10911.8</v>
      </c>
      <c r="E1175" s="6">
        <v>3817.4</v>
      </c>
      <c r="F1175" s="3">
        <v>340.5</v>
      </c>
      <c r="G1175" s="3">
        <v>120573.1</v>
      </c>
    </row>
    <row r="1176" spans="1:7" x14ac:dyDescent="0.2">
      <c r="A1176" s="3">
        <v>2007</v>
      </c>
      <c r="B1176" s="3">
        <v>123</v>
      </c>
      <c r="C1176" s="3" t="str">
        <f>VLOOKUP(B1176, '[1]DAR area codes'!A:B,2,FALSE)</f>
        <v>hawaii</v>
      </c>
      <c r="E1176" s="6"/>
      <c r="F1176" s="3">
        <v>0</v>
      </c>
      <c r="G1176" s="3">
        <v>1650</v>
      </c>
    </row>
    <row r="1177" spans="1:7" x14ac:dyDescent="0.2">
      <c r="A1177" s="3">
        <v>2007</v>
      </c>
      <c r="B1177" s="3">
        <v>124</v>
      </c>
      <c r="C1177" s="3" t="str">
        <f>VLOOKUP(B1177, '[1]DAR area codes'!A:B,2,FALSE)</f>
        <v>hawaii</v>
      </c>
      <c r="E1177" s="6"/>
      <c r="F1177" s="3">
        <v>0</v>
      </c>
      <c r="G1177" s="3">
        <v>48783.199999999997</v>
      </c>
    </row>
    <row r="1178" spans="1:7" x14ac:dyDescent="0.2">
      <c r="A1178" s="3">
        <v>2007</v>
      </c>
      <c r="B1178" s="3">
        <v>125</v>
      </c>
      <c r="C1178" s="3" t="str">
        <f>VLOOKUP(B1178, '[1]DAR area codes'!A:B,2,FALSE)</f>
        <v>hawaii</v>
      </c>
      <c r="D1178" s="4">
        <v>3129.8</v>
      </c>
      <c r="E1178" s="6">
        <v>295.39999999999998</v>
      </c>
      <c r="F1178" s="3">
        <v>872.7</v>
      </c>
      <c r="G1178" s="3">
        <v>179950.4</v>
      </c>
    </row>
    <row r="1179" spans="1:7" x14ac:dyDescent="0.2">
      <c r="A1179" s="3">
        <v>2007</v>
      </c>
      <c r="B1179" s="3">
        <v>126</v>
      </c>
      <c r="C1179" s="3" t="str">
        <f>VLOOKUP(B1179, '[1]DAR area codes'!A:B,2,FALSE)</f>
        <v>hawaii</v>
      </c>
      <c r="D1179" s="4">
        <v>547.5</v>
      </c>
      <c r="E1179" s="6">
        <v>3884.1</v>
      </c>
      <c r="F1179" s="3">
        <v>0</v>
      </c>
      <c r="G1179" s="3">
        <v>150924.20000000001</v>
      </c>
    </row>
    <row r="1180" spans="1:7" x14ac:dyDescent="0.2">
      <c r="A1180" s="3">
        <v>2007</v>
      </c>
      <c r="B1180" s="3">
        <v>127</v>
      </c>
      <c r="C1180" s="3" t="str">
        <f>VLOOKUP(B1180, '[1]DAR area codes'!A:B,2,FALSE)</f>
        <v>hawaii</v>
      </c>
      <c r="D1180" s="4">
        <v>1255.3</v>
      </c>
      <c r="E1180" s="6"/>
      <c r="F1180" s="3">
        <v>0</v>
      </c>
      <c r="G1180" s="3">
        <v>60219</v>
      </c>
    </row>
    <row r="1181" spans="1:7" x14ac:dyDescent="0.2">
      <c r="A1181" s="3">
        <v>2007</v>
      </c>
      <c r="B1181" s="3">
        <v>128</v>
      </c>
      <c r="C1181" s="3" t="str">
        <f>VLOOKUP(B1181, '[1]DAR area codes'!A:B,2,FALSE)</f>
        <v>hawaii</v>
      </c>
      <c r="D1181" s="4">
        <v>2788.5</v>
      </c>
      <c r="E1181" s="6"/>
      <c r="F1181" s="3">
        <v>0</v>
      </c>
      <c r="G1181" s="3">
        <v>5549</v>
      </c>
    </row>
    <row r="1182" spans="1:7" x14ac:dyDescent="0.2">
      <c r="A1182" s="3">
        <v>2007</v>
      </c>
      <c r="B1182" s="3">
        <v>300</v>
      </c>
      <c r="C1182" s="3" t="str">
        <f>VLOOKUP(B1182, '[1]DAR area codes'!A:B,2,FALSE)</f>
        <v>maui</v>
      </c>
      <c r="D1182" s="4">
        <v>221</v>
      </c>
      <c r="E1182" s="6">
        <v>3971.6</v>
      </c>
      <c r="F1182" s="3">
        <v>77668.600000000006</v>
      </c>
      <c r="G1182" s="3">
        <v>534.4</v>
      </c>
    </row>
    <row r="1183" spans="1:7" x14ac:dyDescent="0.2">
      <c r="A1183" s="3">
        <v>2007</v>
      </c>
      <c r="B1183" s="3">
        <v>301</v>
      </c>
      <c r="C1183" s="3" t="str">
        <f>VLOOKUP(B1183, '[1]DAR area codes'!A:B,2,FALSE)</f>
        <v>maui</v>
      </c>
      <c r="E1183" s="6">
        <v>1094.3</v>
      </c>
      <c r="F1183" s="3">
        <v>1795</v>
      </c>
      <c r="G1183" s="3">
        <v>193</v>
      </c>
    </row>
    <row r="1184" spans="1:7" x14ac:dyDescent="0.2">
      <c r="A1184" s="3">
        <v>2007</v>
      </c>
      <c r="B1184" s="3">
        <v>302</v>
      </c>
      <c r="C1184" s="3" t="str">
        <f>VLOOKUP(B1184, '[1]DAR area codes'!A:B,2,FALSE)</f>
        <v>maui</v>
      </c>
      <c r="D1184" s="4">
        <v>2623.8</v>
      </c>
      <c r="E1184" s="6">
        <v>700.5</v>
      </c>
      <c r="F1184" s="3">
        <v>16925.599999999999</v>
      </c>
      <c r="G1184" s="3">
        <v>2530.1999999999998</v>
      </c>
    </row>
    <row r="1185" spans="1:7" x14ac:dyDescent="0.2">
      <c r="A1185" s="3">
        <v>2007</v>
      </c>
      <c r="B1185" s="3">
        <v>303</v>
      </c>
      <c r="C1185" s="3" t="str">
        <f>VLOOKUP(B1185, '[1]DAR area codes'!A:B,2,FALSE)</f>
        <v>maui</v>
      </c>
      <c r="D1185" s="4">
        <v>2306.5</v>
      </c>
      <c r="E1185" s="6">
        <v>1146.5</v>
      </c>
      <c r="F1185" s="3">
        <v>2506.5</v>
      </c>
      <c r="G1185" s="3">
        <v>5061.8999999999996</v>
      </c>
    </row>
    <row r="1186" spans="1:7" x14ac:dyDescent="0.2">
      <c r="A1186" s="3">
        <v>2007</v>
      </c>
      <c r="B1186" s="3">
        <v>304</v>
      </c>
      <c r="C1186" s="3" t="str">
        <f>VLOOKUP(B1186, '[1]DAR area codes'!A:B,2,FALSE)</f>
        <v>maui</v>
      </c>
      <c r="D1186" s="4">
        <v>2791.8</v>
      </c>
      <c r="E1186" s="6">
        <v>2992</v>
      </c>
      <c r="F1186" s="3">
        <v>25.5</v>
      </c>
      <c r="G1186" s="3">
        <v>12257.5</v>
      </c>
    </row>
    <row r="1187" spans="1:7" x14ac:dyDescent="0.2">
      <c r="A1187" s="3">
        <v>2007</v>
      </c>
      <c r="B1187" s="3">
        <v>305</v>
      </c>
      <c r="C1187" s="3" t="str">
        <f>VLOOKUP(B1187, '[1]DAR area codes'!A:B,2,FALSE)</f>
        <v>maui</v>
      </c>
      <c r="D1187" s="4">
        <v>6386.1</v>
      </c>
      <c r="E1187" s="6">
        <v>4820.8</v>
      </c>
      <c r="F1187" s="3">
        <v>616.29999999999995</v>
      </c>
      <c r="G1187" s="3">
        <v>6553.2</v>
      </c>
    </row>
    <row r="1188" spans="1:7" x14ac:dyDescent="0.2">
      <c r="A1188" s="3">
        <v>2007</v>
      </c>
      <c r="B1188" s="3">
        <v>306</v>
      </c>
      <c r="C1188" s="3" t="str">
        <f>VLOOKUP(B1188, '[1]DAR area codes'!A:B,2,FALSE)</f>
        <v>maui</v>
      </c>
      <c r="D1188" s="4">
        <v>1014</v>
      </c>
      <c r="E1188" s="6"/>
      <c r="F1188" s="3">
        <v>0</v>
      </c>
      <c r="G1188" s="3">
        <v>11335</v>
      </c>
    </row>
    <row r="1189" spans="1:7" x14ac:dyDescent="0.2">
      <c r="A1189" s="3">
        <v>2007</v>
      </c>
      <c r="B1189" s="3">
        <v>307</v>
      </c>
      <c r="C1189" s="3" t="str">
        <f>VLOOKUP(B1189, '[1]DAR area codes'!A:B,2,FALSE)</f>
        <v>maui</v>
      </c>
      <c r="E1189" s="6"/>
      <c r="F1189" s="3">
        <v>0</v>
      </c>
      <c r="G1189" s="3">
        <v>477</v>
      </c>
    </row>
    <row r="1190" spans="1:7" x14ac:dyDescent="0.2">
      <c r="A1190" s="3">
        <v>2007</v>
      </c>
      <c r="B1190" s="3">
        <v>308</v>
      </c>
      <c r="C1190" s="3" t="str">
        <f>VLOOKUP(B1190, '[1]DAR area codes'!A:B,2,FALSE)</f>
        <v>maui</v>
      </c>
      <c r="D1190" s="4">
        <v>5631.9</v>
      </c>
      <c r="E1190" s="6">
        <v>3592</v>
      </c>
      <c r="F1190" s="3">
        <v>2646</v>
      </c>
      <c r="G1190" s="3">
        <v>10137</v>
      </c>
    </row>
    <row r="1191" spans="1:7" x14ac:dyDescent="0.2">
      <c r="A1191" s="3">
        <v>2007</v>
      </c>
      <c r="B1191" s="3">
        <v>309</v>
      </c>
      <c r="C1191" s="3" t="str">
        <f>VLOOKUP(B1191, '[1]DAR area codes'!A:B,2,FALSE)</f>
        <v>maui</v>
      </c>
      <c r="E1191" s="6">
        <v>512.9</v>
      </c>
      <c r="F1191" s="3">
        <v>962</v>
      </c>
      <c r="G1191" s="3">
        <v>392</v>
      </c>
    </row>
    <row r="1192" spans="1:7" x14ac:dyDescent="0.2">
      <c r="A1192" s="3">
        <v>2007</v>
      </c>
      <c r="B1192" s="3">
        <v>310</v>
      </c>
      <c r="C1192" s="3" t="str">
        <f>VLOOKUP(B1192, '[1]DAR area codes'!A:B,2,FALSE)</f>
        <v>maui</v>
      </c>
      <c r="E1192" s="6"/>
      <c r="F1192" s="3">
        <v>1284</v>
      </c>
      <c r="G1192" s="3">
        <v>1395.8</v>
      </c>
    </row>
    <row r="1193" spans="1:7" x14ac:dyDescent="0.2">
      <c r="A1193" s="3">
        <v>2007</v>
      </c>
      <c r="B1193" s="3">
        <v>311</v>
      </c>
      <c r="C1193" s="3" t="str">
        <f>VLOOKUP(B1193, '[1]DAR area codes'!A:B,2,FALSE)</f>
        <v>maui</v>
      </c>
      <c r="E1193" s="6"/>
      <c r="F1193" s="3">
        <v>271.8</v>
      </c>
      <c r="G1193" s="3">
        <v>883</v>
      </c>
    </row>
    <row r="1194" spans="1:7" x14ac:dyDescent="0.2">
      <c r="A1194" s="3">
        <v>2007</v>
      </c>
      <c r="B1194" s="3">
        <v>312</v>
      </c>
      <c r="C1194" s="3" t="str">
        <f>VLOOKUP(B1194, '[1]DAR area codes'!A:B,2,FALSE)</f>
        <v>maui</v>
      </c>
      <c r="D1194" s="4">
        <v>527</v>
      </c>
      <c r="E1194" s="6"/>
      <c r="F1194" s="3">
        <v>472.5</v>
      </c>
      <c r="G1194" s="3">
        <v>488</v>
      </c>
    </row>
    <row r="1195" spans="1:7" x14ac:dyDescent="0.2">
      <c r="A1195" s="3">
        <v>2007</v>
      </c>
      <c r="B1195" s="3">
        <v>313</v>
      </c>
      <c r="C1195" s="3" t="str">
        <f>VLOOKUP(B1195, '[1]DAR area codes'!A:B,2,FALSE)</f>
        <v>maui</v>
      </c>
      <c r="D1195" s="4">
        <v>3391.6</v>
      </c>
      <c r="E1195" s="6">
        <v>448.6</v>
      </c>
      <c r="F1195" s="3">
        <v>21.5</v>
      </c>
      <c r="G1195" s="3">
        <v>2686</v>
      </c>
    </row>
    <row r="1196" spans="1:7" x14ac:dyDescent="0.2">
      <c r="A1196" s="3">
        <v>2007</v>
      </c>
      <c r="B1196" s="3">
        <v>314</v>
      </c>
      <c r="C1196" s="3" t="str">
        <f>VLOOKUP(B1196, '[1]DAR area codes'!A:B,2,FALSE)</f>
        <v>maui</v>
      </c>
      <c r="D1196" s="4">
        <v>1280.5</v>
      </c>
      <c r="E1196" s="6">
        <v>346</v>
      </c>
      <c r="F1196" s="3">
        <v>613</v>
      </c>
      <c r="G1196" s="3">
        <v>1269</v>
      </c>
    </row>
    <row r="1197" spans="1:7" x14ac:dyDescent="0.2">
      <c r="A1197" s="3">
        <v>2007</v>
      </c>
      <c r="B1197" s="3">
        <v>320</v>
      </c>
      <c r="C1197" s="3" t="str">
        <f>VLOOKUP(B1197, '[1]DAR area codes'!A:B,2,FALSE)</f>
        <v>maui</v>
      </c>
      <c r="D1197" s="4">
        <v>12328.2</v>
      </c>
      <c r="E1197" s="6">
        <v>5150.8</v>
      </c>
      <c r="F1197" s="3">
        <v>17675.800000000003</v>
      </c>
      <c r="G1197" s="3">
        <v>12984.9</v>
      </c>
    </row>
    <row r="1198" spans="1:7" x14ac:dyDescent="0.2">
      <c r="A1198" s="3">
        <v>2007</v>
      </c>
      <c r="B1198" s="3">
        <v>321</v>
      </c>
      <c r="C1198" s="3" t="str">
        <f>VLOOKUP(B1198, '[1]DAR area codes'!A:B,2,FALSE)</f>
        <v>maui</v>
      </c>
      <c r="D1198" s="4">
        <v>5994.8</v>
      </c>
      <c r="E1198" s="6">
        <v>2390.3000000000002</v>
      </c>
      <c r="F1198" s="3">
        <v>286.3</v>
      </c>
      <c r="G1198" s="3">
        <v>2194</v>
      </c>
    </row>
    <row r="1199" spans="1:7" x14ac:dyDescent="0.2">
      <c r="A1199" s="3">
        <v>2007</v>
      </c>
      <c r="B1199" s="3">
        <v>322</v>
      </c>
      <c r="C1199" s="3" t="str">
        <f>VLOOKUP(B1199, '[1]DAR area codes'!A:B,2,FALSE)</f>
        <v>maui</v>
      </c>
      <c r="D1199" s="4">
        <v>944</v>
      </c>
      <c r="E1199" s="6"/>
      <c r="F1199" s="3">
        <v>0</v>
      </c>
      <c r="G1199" s="3">
        <v>12404.3</v>
      </c>
    </row>
    <row r="1200" spans="1:7" x14ac:dyDescent="0.2">
      <c r="A1200" s="3">
        <v>2007</v>
      </c>
      <c r="B1200" s="3">
        <v>323</v>
      </c>
      <c r="C1200" s="3" t="str">
        <f>VLOOKUP(B1200, '[1]DAR area codes'!A:B,2,FALSE)</f>
        <v>maui</v>
      </c>
      <c r="D1200" s="4">
        <v>352</v>
      </c>
      <c r="E1200" s="6"/>
      <c r="F1200" s="3">
        <v>0</v>
      </c>
      <c r="G1200" s="3">
        <v>120932.5</v>
      </c>
    </row>
    <row r="1201" spans="1:7" x14ac:dyDescent="0.2">
      <c r="A1201" s="3">
        <v>2007</v>
      </c>
      <c r="B1201" s="3">
        <v>324</v>
      </c>
      <c r="C1201" s="3" t="str">
        <f>VLOOKUP(B1201, '[1]DAR area codes'!A:B,2,FALSE)</f>
        <v>maui</v>
      </c>
      <c r="E1201" s="6"/>
      <c r="F1201" s="3">
        <v>0</v>
      </c>
      <c r="G1201" s="3">
        <v>65369.7</v>
      </c>
    </row>
    <row r="1202" spans="1:7" x14ac:dyDescent="0.2">
      <c r="A1202" s="3">
        <v>2007</v>
      </c>
      <c r="B1202" s="3">
        <v>325</v>
      </c>
      <c r="C1202" s="3" t="str">
        <f>VLOOKUP(B1202, '[1]DAR area codes'!A:B,2,FALSE)</f>
        <v>maui</v>
      </c>
      <c r="D1202" s="4">
        <v>1735</v>
      </c>
      <c r="E1202" s="6"/>
      <c r="F1202" s="3">
        <v>0</v>
      </c>
      <c r="G1202" s="3">
        <v>5616.2</v>
      </c>
    </row>
    <row r="1203" spans="1:7" x14ac:dyDescent="0.2">
      <c r="A1203" s="3">
        <v>2007</v>
      </c>
      <c r="B1203" s="3">
        <v>326</v>
      </c>
      <c r="C1203" s="3" t="str">
        <f>VLOOKUP(B1203, '[1]DAR area codes'!A:B,2,FALSE)</f>
        <v>maui</v>
      </c>
      <c r="E1203" s="6"/>
      <c r="F1203" s="3">
        <v>0</v>
      </c>
      <c r="G1203" s="3">
        <v>11122</v>
      </c>
    </row>
    <row r="1204" spans="1:7" x14ac:dyDescent="0.2">
      <c r="A1204" s="3">
        <v>2007</v>
      </c>
      <c r="B1204" s="3">
        <v>327</v>
      </c>
      <c r="C1204" s="3" t="str">
        <f>VLOOKUP(B1204, '[1]DAR area codes'!A:B,2,FALSE)</f>
        <v>maui</v>
      </c>
      <c r="D1204" s="4">
        <v>8050.9</v>
      </c>
      <c r="E1204" s="6">
        <v>1065</v>
      </c>
      <c r="F1204" s="3">
        <v>141</v>
      </c>
      <c r="G1204" s="3">
        <v>15792.4</v>
      </c>
    </row>
    <row r="1205" spans="1:7" x14ac:dyDescent="0.2">
      <c r="A1205" s="3">
        <v>2007</v>
      </c>
      <c r="B1205" s="3">
        <v>328</v>
      </c>
      <c r="C1205" s="3" t="str">
        <f>VLOOKUP(B1205, '[1]DAR area codes'!A:B,2,FALSE)</f>
        <v>maui</v>
      </c>
      <c r="D1205" s="4">
        <v>690.5</v>
      </c>
      <c r="E1205" s="6"/>
      <c r="F1205" s="3">
        <v>0</v>
      </c>
      <c r="G1205" s="3">
        <v>111248.8</v>
      </c>
    </row>
    <row r="1206" spans="1:7" x14ac:dyDescent="0.2">
      <c r="A1206" s="3">
        <v>2007</v>
      </c>
      <c r="B1206" s="3">
        <v>331</v>
      </c>
      <c r="C1206" s="3" t="str">
        <f>VLOOKUP(B1206, '[1]DAR area codes'!A:B,2,FALSE)</f>
        <v>maui</v>
      </c>
      <c r="D1206" s="4">
        <v>29801.599999999999</v>
      </c>
      <c r="E1206" s="6">
        <v>18237</v>
      </c>
      <c r="F1206" s="3">
        <v>407</v>
      </c>
      <c r="G1206" s="3">
        <v>23940.5</v>
      </c>
    </row>
    <row r="1207" spans="1:7" x14ac:dyDescent="0.2">
      <c r="A1207" s="3">
        <v>2007</v>
      </c>
      <c r="B1207" s="3">
        <v>332</v>
      </c>
      <c r="C1207" s="3" t="str">
        <f>VLOOKUP(B1207, '[1]DAR area codes'!A:B,2,FALSE)</f>
        <v>maui</v>
      </c>
      <c r="E1207" s="6"/>
      <c r="F1207" s="3">
        <v>0</v>
      </c>
      <c r="G1207" s="3">
        <v>6631.3</v>
      </c>
    </row>
    <row r="1208" spans="1:7" x14ac:dyDescent="0.2">
      <c r="A1208" s="3">
        <v>2007</v>
      </c>
      <c r="B1208" s="3">
        <v>333</v>
      </c>
      <c r="C1208" s="3" t="str">
        <f>VLOOKUP(B1208, '[1]DAR area codes'!A:B,2,FALSE)</f>
        <v>maui</v>
      </c>
      <c r="D1208" s="4">
        <v>1612</v>
      </c>
      <c r="E1208" s="6"/>
      <c r="F1208" s="3">
        <v>0</v>
      </c>
      <c r="G1208" s="3">
        <v>1503.9</v>
      </c>
    </row>
    <row r="1209" spans="1:7" x14ac:dyDescent="0.2">
      <c r="A1209" s="3">
        <v>2007</v>
      </c>
      <c r="B1209" s="3">
        <v>400</v>
      </c>
      <c r="C1209" s="3" t="str">
        <f>VLOOKUP(B1209, '[1]DAR area codes'!A:B,2,FALSE)</f>
        <v>oahu</v>
      </c>
      <c r="D1209" s="4">
        <v>98.9</v>
      </c>
      <c r="E1209" s="6"/>
      <c r="F1209" s="3">
        <v>9850.6999999999989</v>
      </c>
      <c r="G1209" s="3">
        <v>578.5</v>
      </c>
    </row>
    <row r="1210" spans="1:7" x14ac:dyDescent="0.2">
      <c r="A1210" s="3">
        <v>2007</v>
      </c>
      <c r="B1210" s="3">
        <v>401</v>
      </c>
      <c r="C1210" s="3" t="str">
        <f>VLOOKUP(B1210, '[1]DAR area codes'!A:B,2,FALSE)</f>
        <v>oahu</v>
      </c>
      <c r="D1210" s="4">
        <v>186.5</v>
      </c>
      <c r="E1210" s="6">
        <v>1163.5999999999999</v>
      </c>
      <c r="F1210" s="3">
        <v>64497.399999999994</v>
      </c>
      <c r="G1210" s="3">
        <v>2875</v>
      </c>
    </row>
    <row r="1211" spans="1:7" x14ac:dyDescent="0.2">
      <c r="A1211" s="3">
        <v>2007</v>
      </c>
      <c r="B1211" s="3">
        <v>402</v>
      </c>
      <c r="C1211" s="3" t="str">
        <f>VLOOKUP(B1211, '[1]DAR area codes'!A:B,2,FALSE)</f>
        <v>oahu</v>
      </c>
      <c r="D1211" s="4">
        <v>186</v>
      </c>
      <c r="E1211" s="6">
        <v>1088.4000000000001</v>
      </c>
      <c r="F1211" s="3">
        <v>81670.200000000012</v>
      </c>
      <c r="G1211" s="3">
        <v>10299.599999999999</v>
      </c>
    </row>
    <row r="1212" spans="1:7" x14ac:dyDescent="0.2">
      <c r="A1212" s="3">
        <v>2007</v>
      </c>
      <c r="B1212" s="3">
        <v>403</v>
      </c>
      <c r="C1212" s="3" t="str">
        <f>VLOOKUP(B1212, '[1]DAR area codes'!A:B,2,FALSE)</f>
        <v>oahu</v>
      </c>
      <c r="D1212" s="4">
        <v>1271</v>
      </c>
      <c r="E1212" s="6">
        <v>3103.2</v>
      </c>
      <c r="F1212" s="3">
        <v>146133.30000000002</v>
      </c>
      <c r="G1212" s="3">
        <v>34137.699999999997</v>
      </c>
    </row>
    <row r="1213" spans="1:7" x14ac:dyDescent="0.2">
      <c r="A1213" s="3">
        <v>2007</v>
      </c>
      <c r="B1213" s="3">
        <v>404</v>
      </c>
      <c r="C1213" s="3" t="str">
        <f>VLOOKUP(B1213, '[1]DAR area codes'!A:B,2,FALSE)</f>
        <v>oahu</v>
      </c>
      <c r="D1213" s="4">
        <v>766.8</v>
      </c>
      <c r="E1213" s="6">
        <v>2328.3000000000002</v>
      </c>
      <c r="F1213" s="3">
        <v>79240.300000000017</v>
      </c>
      <c r="G1213" s="3">
        <v>6355.9</v>
      </c>
    </row>
    <row r="1214" spans="1:7" x14ac:dyDescent="0.2">
      <c r="A1214" s="3">
        <v>2007</v>
      </c>
      <c r="B1214" s="3">
        <v>405</v>
      </c>
      <c r="C1214" s="3" t="str">
        <f>VLOOKUP(B1214, '[1]DAR area codes'!A:B,2,FALSE)</f>
        <v>oahu</v>
      </c>
      <c r="D1214" s="4">
        <v>1234</v>
      </c>
      <c r="E1214" s="6">
        <v>1098.5999999999999</v>
      </c>
      <c r="F1214" s="3">
        <v>15649.100000000002</v>
      </c>
      <c r="G1214" s="3">
        <v>2706</v>
      </c>
    </row>
    <row r="1215" spans="1:7" x14ac:dyDescent="0.2">
      <c r="A1215" s="3">
        <v>2007</v>
      </c>
      <c r="B1215" s="3">
        <v>406</v>
      </c>
      <c r="C1215" s="3" t="str">
        <f>VLOOKUP(B1215, '[1]DAR area codes'!A:B,2,FALSE)</f>
        <v>oahu</v>
      </c>
      <c r="D1215" s="4">
        <v>497</v>
      </c>
      <c r="E1215" s="6"/>
      <c r="F1215" s="3">
        <v>18626.400000000001</v>
      </c>
      <c r="G1215" s="3">
        <v>384</v>
      </c>
    </row>
    <row r="1216" spans="1:7" x14ac:dyDescent="0.2">
      <c r="A1216" s="3">
        <v>2007</v>
      </c>
      <c r="B1216" s="3">
        <v>407</v>
      </c>
      <c r="C1216" s="3" t="str">
        <f>VLOOKUP(B1216, '[1]DAR area codes'!A:B,2,FALSE)</f>
        <v>oahu</v>
      </c>
      <c r="E1216" s="6"/>
      <c r="F1216" s="3">
        <v>34165.199999999997</v>
      </c>
      <c r="G1216" s="3">
        <v>3671</v>
      </c>
    </row>
    <row r="1217" spans="1:7" x14ac:dyDescent="0.2">
      <c r="A1217" s="3">
        <v>2007</v>
      </c>
      <c r="B1217" s="3">
        <v>408</v>
      </c>
      <c r="C1217" s="3" t="str">
        <f>VLOOKUP(B1217, '[1]DAR area codes'!A:B,2,FALSE)</f>
        <v>oahu</v>
      </c>
      <c r="D1217" s="4">
        <v>410.5</v>
      </c>
      <c r="E1217" s="6">
        <v>267.5</v>
      </c>
      <c r="F1217" s="3">
        <v>3713.1000000000004</v>
      </c>
      <c r="G1217" s="3">
        <v>178</v>
      </c>
    </row>
    <row r="1218" spans="1:7" x14ac:dyDescent="0.2">
      <c r="A1218" s="3">
        <v>2007</v>
      </c>
      <c r="B1218" s="3">
        <v>409</v>
      </c>
      <c r="C1218" s="3" t="str">
        <f>VLOOKUP(B1218, '[1]DAR area codes'!A:B,2,FALSE)</f>
        <v>oahu</v>
      </c>
      <c r="D1218" s="4">
        <v>221.5</v>
      </c>
      <c r="E1218" s="6">
        <v>253.3</v>
      </c>
      <c r="F1218" s="3">
        <v>10531.9</v>
      </c>
      <c r="G1218" s="3">
        <v>727</v>
      </c>
    </row>
    <row r="1219" spans="1:7" x14ac:dyDescent="0.2">
      <c r="A1219" s="3">
        <v>2007</v>
      </c>
      <c r="B1219" s="3">
        <v>420</v>
      </c>
      <c r="C1219" s="3" t="str">
        <f>VLOOKUP(B1219, '[1]DAR area codes'!A:B,2,FALSE)</f>
        <v>oahu</v>
      </c>
      <c r="D1219" s="4">
        <v>1397.5</v>
      </c>
      <c r="E1219" s="6"/>
      <c r="F1219" s="3">
        <v>0</v>
      </c>
      <c r="G1219" s="3">
        <v>17987.7</v>
      </c>
    </row>
    <row r="1220" spans="1:7" x14ac:dyDescent="0.2">
      <c r="A1220" s="3">
        <v>2007</v>
      </c>
      <c r="B1220" s="3">
        <v>421</v>
      </c>
      <c r="C1220" s="3" t="str">
        <f>VLOOKUP(B1220, '[1]DAR area codes'!A:B,2,FALSE)</f>
        <v>oahu</v>
      </c>
      <c r="D1220" s="4">
        <v>46</v>
      </c>
      <c r="E1220" s="6"/>
      <c r="F1220" s="3">
        <v>0</v>
      </c>
      <c r="G1220" s="3">
        <v>91643.9</v>
      </c>
    </row>
    <row r="1221" spans="1:7" x14ac:dyDescent="0.2">
      <c r="A1221" s="3">
        <v>2007</v>
      </c>
      <c r="B1221" s="3">
        <v>422</v>
      </c>
      <c r="C1221" s="3" t="str">
        <f>VLOOKUP(B1221, '[1]DAR area codes'!A:B,2,FALSE)</f>
        <v>oahu</v>
      </c>
      <c r="E1221" s="6"/>
      <c r="F1221" s="3">
        <v>2540.4</v>
      </c>
      <c r="G1221" s="3">
        <v>248573.2</v>
      </c>
    </row>
    <row r="1222" spans="1:7" x14ac:dyDescent="0.2">
      <c r="A1222" s="3">
        <v>2007</v>
      </c>
      <c r="B1222" s="3">
        <v>423</v>
      </c>
      <c r="C1222" s="3" t="str">
        <f>VLOOKUP(B1222, '[1]DAR area codes'!A:B,2,FALSE)</f>
        <v>oahu</v>
      </c>
      <c r="D1222" s="4">
        <v>3079</v>
      </c>
      <c r="E1222" s="6">
        <v>886.6</v>
      </c>
      <c r="F1222" s="3">
        <v>18035.8</v>
      </c>
      <c r="G1222" s="3">
        <v>257649.3</v>
      </c>
    </row>
    <row r="1223" spans="1:7" x14ac:dyDescent="0.2">
      <c r="A1223" s="3">
        <v>2007</v>
      </c>
      <c r="B1223" s="3">
        <v>424</v>
      </c>
      <c r="C1223" s="3" t="str">
        <f>VLOOKUP(B1223, '[1]DAR area codes'!A:B,2,FALSE)</f>
        <v>oahu</v>
      </c>
      <c r="D1223" s="4">
        <v>1724.2</v>
      </c>
      <c r="E1223" s="6"/>
      <c r="F1223" s="3">
        <v>0</v>
      </c>
      <c r="G1223" s="3">
        <v>58144.3</v>
      </c>
    </row>
    <row r="1224" spans="1:7" x14ac:dyDescent="0.2">
      <c r="A1224" s="3">
        <v>2007</v>
      </c>
      <c r="B1224" s="3">
        <v>425</v>
      </c>
      <c r="C1224" s="3" t="str">
        <f>VLOOKUP(B1224, '[1]DAR area codes'!A:B,2,FALSE)</f>
        <v>oahu</v>
      </c>
      <c r="D1224" s="4">
        <v>629</v>
      </c>
      <c r="E1224" s="6"/>
      <c r="F1224" s="3">
        <v>23.5</v>
      </c>
      <c r="G1224" s="3">
        <v>396210.3</v>
      </c>
    </row>
    <row r="1225" spans="1:7" x14ac:dyDescent="0.2">
      <c r="A1225" s="3">
        <v>2007</v>
      </c>
      <c r="B1225" s="3">
        <v>426</v>
      </c>
      <c r="C1225" s="3" t="str">
        <f>VLOOKUP(B1225, '[1]DAR area codes'!A:B,2,FALSE)</f>
        <v>oahu</v>
      </c>
      <c r="E1225" s="6"/>
      <c r="F1225" s="3">
        <v>0</v>
      </c>
      <c r="G1225" s="3">
        <v>108685</v>
      </c>
    </row>
    <row r="1226" spans="1:7" x14ac:dyDescent="0.2">
      <c r="A1226" s="3">
        <v>2007</v>
      </c>
      <c r="B1226" s="3">
        <v>427</v>
      </c>
      <c r="C1226" s="3" t="str">
        <f>VLOOKUP(B1226, '[1]DAR area codes'!A:B,2,FALSE)</f>
        <v>oahu</v>
      </c>
      <c r="D1226" s="4">
        <v>224.3</v>
      </c>
      <c r="E1226" s="6"/>
      <c r="F1226" s="3">
        <v>17</v>
      </c>
      <c r="G1226" s="3">
        <v>142666</v>
      </c>
    </row>
    <row r="1227" spans="1:7" x14ac:dyDescent="0.2">
      <c r="A1227" s="3">
        <v>2007</v>
      </c>
      <c r="B1227" s="3">
        <v>428</v>
      </c>
      <c r="C1227" s="3" t="str">
        <f>VLOOKUP(B1227, '[1]DAR area codes'!A:B,2,FALSE)</f>
        <v>oahu</v>
      </c>
      <c r="D1227" s="4">
        <v>604</v>
      </c>
      <c r="E1227" s="6"/>
      <c r="F1227" s="3">
        <v>0</v>
      </c>
      <c r="G1227" s="3">
        <v>39616.199999999997</v>
      </c>
    </row>
    <row r="1228" spans="1:7" x14ac:dyDescent="0.2">
      <c r="A1228" s="3">
        <v>2007</v>
      </c>
      <c r="B1228" s="3">
        <v>429</v>
      </c>
      <c r="C1228" s="3" t="str">
        <f>VLOOKUP(B1228, '[1]DAR area codes'!A:B,2,FALSE)</f>
        <v>oahu</v>
      </c>
      <c r="D1228" s="4">
        <v>1892.1</v>
      </c>
      <c r="E1228" s="6">
        <v>314.39999999999998</v>
      </c>
      <c r="F1228" s="3">
        <v>0</v>
      </c>
      <c r="G1228" s="3">
        <v>13354.5</v>
      </c>
    </row>
    <row r="1229" spans="1:7" x14ac:dyDescent="0.2">
      <c r="A1229" s="3">
        <v>2007</v>
      </c>
      <c r="B1229" s="3">
        <v>500</v>
      </c>
      <c r="C1229" s="3" t="str">
        <f>VLOOKUP(B1229, '[1]DAR area codes'!A:B,2,FALSE)</f>
        <v>kauai</v>
      </c>
      <c r="D1229" s="4">
        <v>1634.8</v>
      </c>
      <c r="E1229" s="6">
        <v>5015.8999999999996</v>
      </c>
      <c r="F1229" s="3">
        <v>270302.40000000002</v>
      </c>
      <c r="G1229" s="3">
        <v>48319</v>
      </c>
    </row>
    <row r="1230" spans="1:7" x14ac:dyDescent="0.2">
      <c r="A1230" s="3">
        <v>2007</v>
      </c>
      <c r="B1230" s="3">
        <v>501</v>
      </c>
      <c r="C1230" s="3" t="str">
        <f>VLOOKUP(B1230, '[1]DAR area codes'!A:B,2,FALSE)</f>
        <v>kauai</v>
      </c>
      <c r="E1230" s="6">
        <v>2248.6999999999998</v>
      </c>
      <c r="F1230" s="3">
        <v>5289</v>
      </c>
      <c r="G1230" s="3">
        <v>11115.5</v>
      </c>
    </row>
    <row r="1231" spans="1:7" x14ac:dyDescent="0.2">
      <c r="A1231" s="3">
        <v>2007</v>
      </c>
      <c r="B1231" s="3">
        <v>502</v>
      </c>
      <c r="C1231" s="3" t="str">
        <f>VLOOKUP(B1231, '[1]DAR area codes'!A:B,2,FALSE)</f>
        <v>kauai</v>
      </c>
      <c r="E1231" s="6"/>
      <c r="F1231" s="3">
        <v>0</v>
      </c>
      <c r="G1231" s="3">
        <v>2475.5</v>
      </c>
    </row>
    <row r="1232" spans="1:7" x14ac:dyDescent="0.2">
      <c r="A1232" s="3">
        <v>2007</v>
      </c>
      <c r="B1232" s="3">
        <v>503</v>
      </c>
      <c r="C1232" s="3" t="str">
        <f>VLOOKUP(B1232, '[1]DAR area codes'!A:B,2,FALSE)</f>
        <v>kauai</v>
      </c>
      <c r="D1232" s="4">
        <v>467</v>
      </c>
      <c r="E1232" s="6">
        <v>421</v>
      </c>
      <c r="F1232" s="3">
        <v>785.3</v>
      </c>
      <c r="G1232" s="3">
        <v>5845.9</v>
      </c>
    </row>
    <row r="1233" spans="1:7" x14ac:dyDescent="0.2">
      <c r="A1233" s="3">
        <v>2007</v>
      </c>
      <c r="B1233" s="3">
        <v>504</v>
      </c>
      <c r="C1233" s="3" t="str">
        <f>VLOOKUP(B1233, '[1]DAR area codes'!A:B,2,FALSE)</f>
        <v>kauai</v>
      </c>
      <c r="D1233" s="4">
        <v>512</v>
      </c>
      <c r="E1233" s="6">
        <v>1991.6</v>
      </c>
      <c r="F1233" s="3">
        <v>13045</v>
      </c>
      <c r="G1233" s="3">
        <v>22484.1</v>
      </c>
    </row>
    <row r="1234" spans="1:7" x14ac:dyDescent="0.2">
      <c r="A1234" s="3">
        <v>2007</v>
      </c>
      <c r="B1234" s="3">
        <v>505</v>
      </c>
      <c r="C1234" s="3" t="str">
        <f>VLOOKUP(B1234, '[1]DAR area codes'!A:B,2,FALSE)</f>
        <v>kauai</v>
      </c>
      <c r="D1234" s="4">
        <v>9757.4</v>
      </c>
      <c r="E1234" s="6">
        <v>8493.7000000000007</v>
      </c>
      <c r="F1234" s="3">
        <v>0</v>
      </c>
      <c r="G1234" s="3">
        <v>6520.9</v>
      </c>
    </row>
    <row r="1235" spans="1:7" x14ac:dyDescent="0.2">
      <c r="A1235" s="3">
        <v>2007</v>
      </c>
      <c r="B1235" s="3">
        <v>506</v>
      </c>
      <c r="C1235" s="3" t="str">
        <f>VLOOKUP(B1235, '[1]DAR area codes'!A:B,2,FALSE)</f>
        <v>kauai</v>
      </c>
      <c r="E1235" s="6">
        <v>3878.5</v>
      </c>
      <c r="F1235" s="3">
        <v>1084</v>
      </c>
      <c r="G1235" s="3">
        <v>1432</v>
      </c>
    </row>
    <row r="1236" spans="1:7" x14ac:dyDescent="0.2">
      <c r="A1236" s="3">
        <v>2007</v>
      </c>
      <c r="B1236" s="3">
        <v>507</v>
      </c>
      <c r="C1236" s="3" t="str">
        <f>VLOOKUP(B1236, '[1]DAR area codes'!A:B,2,FALSE)</f>
        <v>kauai</v>
      </c>
      <c r="E1236" s="6"/>
      <c r="F1236" s="3">
        <v>0</v>
      </c>
      <c r="G1236" s="3">
        <v>0</v>
      </c>
    </row>
    <row r="1237" spans="1:7" x14ac:dyDescent="0.2">
      <c r="A1237" s="3">
        <v>2007</v>
      </c>
      <c r="B1237" s="3">
        <v>508</v>
      </c>
      <c r="C1237" s="3" t="str">
        <f>VLOOKUP(B1237, '[1]DAR area codes'!A:B,2,FALSE)</f>
        <v>kauai</v>
      </c>
      <c r="E1237" s="6">
        <v>6257.6</v>
      </c>
      <c r="F1237" s="3">
        <v>0</v>
      </c>
      <c r="G1237" s="3">
        <v>16824</v>
      </c>
    </row>
    <row r="1238" spans="1:7" x14ac:dyDescent="0.2">
      <c r="A1238" s="3">
        <v>2007</v>
      </c>
      <c r="B1238" s="3">
        <v>520</v>
      </c>
      <c r="C1238" s="3" t="str">
        <f>VLOOKUP(B1238, '[1]DAR area codes'!A:B,2,FALSE)</f>
        <v>kauai</v>
      </c>
      <c r="D1238" s="4">
        <v>697.5</v>
      </c>
      <c r="E1238" s="6">
        <v>1060</v>
      </c>
      <c r="F1238" s="3">
        <v>964</v>
      </c>
      <c r="G1238" s="3">
        <v>361102.4</v>
      </c>
    </row>
    <row r="1239" spans="1:7" x14ac:dyDescent="0.2">
      <c r="A1239" s="3">
        <v>2007</v>
      </c>
      <c r="B1239" s="3">
        <v>521</v>
      </c>
      <c r="C1239" s="3" t="str">
        <f>VLOOKUP(B1239, '[1]DAR area codes'!A:B,2,FALSE)</f>
        <v>kauai</v>
      </c>
      <c r="E1239" s="6"/>
      <c r="F1239" s="3">
        <v>0</v>
      </c>
      <c r="G1239" s="3">
        <v>8564.5</v>
      </c>
    </row>
    <row r="1240" spans="1:7" x14ac:dyDescent="0.2">
      <c r="A1240" s="3">
        <v>2007</v>
      </c>
      <c r="B1240" s="3">
        <v>522</v>
      </c>
      <c r="C1240" s="3" t="str">
        <f>VLOOKUP(B1240, '[1]DAR area codes'!A:B,2,FALSE)</f>
        <v>kauai</v>
      </c>
      <c r="E1240" s="6"/>
      <c r="F1240" s="3">
        <v>0</v>
      </c>
      <c r="G1240" s="3">
        <v>7426.5</v>
      </c>
    </row>
    <row r="1241" spans="1:7" x14ac:dyDescent="0.2">
      <c r="A1241" s="3">
        <v>2007</v>
      </c>
      <c r="B1241" s="3">
        <v>523</v>
      </c>
      <c r="C1241" s="3" t="str">
        <f>VLOOKUP(B1241, '[1]DAR area codes'!A:B,2,FALSE)</f>
        <v>kauai</v>
      </c>
      <c r="E1241" s="6"/>
      <c r="F1241" s="3">
        <v>0</v>
      </c>
      <c r="G1241" s="3">
        <v>24103</v>
      </c>
    </row>
    <row r="1242" spans="1:7" x14ac:dyDescent="0.2">
      <c r="A1242" s="3">
        <v>2007</v>
      </c>
      <c r="B1242" s="3">
        <v>524</v>
      </c>
      <c r="C1242" s="3" t="str">
        <f>VLOOKUP(B1242, '[1]DAR area codes'!A:B,2,FALSE)</f>
        <v>kauai</v>
      </c>
      <c r="D1242" s="4">
        <v>1043.2</v>
      </c>
      <c r="E1242" s="6">
        <v>3877</v>
      </c>
      <c r="F1242" s="3">
        <v>304</v>
      </c>
      <c r="G1242" s="3">
        <v>104772.19999999998</v>
      </c>
    </row>
    <row r="1243" spans="1:7" x14ac:dyDescent="0.2">
      <c r="A1243" s="3">
        <v>2007</v>
      </c>
      <c r="B1243" s="3">
        <v>525</v>
      </c>
      <c r="C1243" s="3" t="str">
        <f>VLOOKUP(B1243, '[1]DAR area codes'!A:B,2,FALSE)</f>
        <v>kauai</v>
      </c>
      <c r="E1243" s="6"/>
      <c r="F1243" s="3">
        <v>0</v>
      </c>
      <c r="G1243" s="3">
        <v>0</v>
      </c>
    </row>
    <row r="1244" spans="1:7" x14ac:dyDescent="0.2">
      <c r="A1244" s="3">
        <v>2007</v>
      </c>
      <c r="B1244" s="3">
        <v>526</v>
      </c>
      <c r="C1244" s="3" t="str">
        <f>VLOOKUP(B1244, '[1]DAR area codes'!A:B,2,FALSE)</f>
        <v>kauai</v>
      </c>
      <c r="E1244" s="6"/>
      <c r="F1244" s="3">
        <v>0</v>
      </c>
      <c r="G1244" s="3">
        <v>0</v>
      </c>
    </row>
    <row r="1245" spans="1:7" x14ac:dyDescent="0.2">
      <c r="A1245" s="3">
        <v>2007</v>
      </c>
      <c r="B1245" s="3">
        <v>527</v>
      </c>
      <c r="C1245" s="3" t="str">
        <f>VLOOKUP(B1245, '[1]DAR area codes'!A:B,2,FALSE)</f>
        <v>kauai</v>
      </c>
      <c r="E1245" s="6"/>
      <c r="F1245" s="3">
        <v>0</v>
      </c>
      <c r="G1245" s="3">
        <v>0</v>
      </c>
    </row>
    <row r="1246" spans="1:7" x14ac:dyDescent="0.2">
      <c r="A1246" s="3">
        <v>2007</v>
      </c>
      <c r="B1246" s="3">
        <v>528</v>
      </c>
      <c r="C1246" s="3" t="str">
        <f>VLOOKUP(B1246, '[1]DAR area codes'!A:B,2,FALSE)</f>
        <v>kauai</v>
      </c>
      <c r="E1246" s="6"/>
      <c r="F1246" s="3">
        <v>0</v>
      </c>
      <c r="G1246" s="3">
        <v>0</v>
      </c>
    </row>
    <row r="1247" spans="1:7" x14ac:dyDescent="0.2">
      <c r="A1247" s="3">
        <v>2006</v>
      </c>
      <c r="B1247" s="3">
        <v>100</v>
      </c>
      <c r="C1247" s="3" t="str">
        <f>VLOOKUP(B1247, '[1]DAR area codes'!A:B,2,FALSE)</f>
        <v>hawaii</v>
      </c>
      <c r="D1247" s="4">
        <v>101</v>
      </c>
      <c r="E1247" s="6"/>
      <c r="F1247" s="3">
        <v>2247.1</v>
      </c>
      <c r="G1247" s="3">
        <v>26961</v>
      </c>
    </row>
    <row r="1248" spans="1:7" x14ac:dyDescent="0.2">
      <c r="A1248" s="3">
        <v>2006</v>
      </c>
      <c r="B1248" s="3">
        <v>101</v>
      </c>
      <c r="C1248" s="3" t="str">
        <f>VLOOKUP(B1248, '[1]DAR area codes'!A:B,2,FALSE)</f>
        <v>hawaii</v>
      </c>
      <c r="D1248" s="4">
        <v>4123.7</v>
      </c>
      <c r="E1248" s="6">
        <v>1061</v>
      </c>
      <c r="F1248" s="3">
        <v>138182.79999999999</v>
      </c>
      <c r="G1248" s="3">
        <v>183356.79999999999</v>
      </c>
    </row>
    <row r="1249" spans="1:7" x14ac:dyDescent="0.2">
      <c r="A1249" s="3">
        <v>2006</v>
      </c>
      <c r="B1249" s="3">
        <v>102</v>
      </c>
      <c r="C1249" s="3" t="str">
        <f>VLOOKUP(B1249, '[1]DAR area codes'!A:B,2,FALSE)</f>
        <v>hawaii</v>
      </c>
      <c r="D1249" s="4">
        <v>5763.3</v>
      </c>
      <c r="E1249" s="6">
        <v>2934.1</v>
      </c>
      <c r="F1249" s="3">
        <v>3422.9</v>
      </c>
      <c r="G1249" s="3">
        <v>43923</v>
      </c>
    </row>
    <row r="1250" spans="1:7" x14ac:dyDescent="0.2">
      <c r="A1250" s="3">
        <v>2006</v>
      </c>
      <c r="B1250" s="3">
        <v>103</v>
      </c>
      <c r="C1250" s="3" t="str">
        <f>VLOOKUP(B1250, '[1]DAR area codes'!A:B,2,FALSE)</f>
        <v>hawaii</v>
      </c>
      <c r="D1250" s="4">
        <v>527.5</v>
      </c>
      <c r="E1250" s="6"/>
      <c r="F1250" s="3">
        <v>0</v>
      </c>
      <c r="G1250" s="3">
        <v>2676</v>
      </c>
    </row>
    <row r="1251" spans="1:7" x14ac:dyDescent="0.2">
      <c r="A1251" s="3">
        <v>2006</v>
      </c>
      <c r="B1251" s="3">
        <v>104</v>
      </c>
      <c r="C1251" s="3" t="str">
        <f>VLOOKUP(B1251, '[1]DAR area codes'!A:B,2,FALSE)</f>
        <v>hawaii</v>
      </c>
      <c r="D1251" s="4">
        <v>189.2</v>
      </c>
      <c r="E1251" s="6"/>
      <c r="F1251" s="3">
        <v>955.90000000000009</v>
      </c>
      <c r="G1251" s="3">
        <v>1269.2</v>
      </c>
    </row>
    <row r="1252" spans="1:7" x14ac:dyDescent="0.2">
      <c r="A1252" s="3">
        <v>2006</v>
      </c>
      <c r="B1252" s="3">
        <v>105</v>
      </c>
      <c r="C1252" s="3" t="str">
        <f>VLOOKUP(B1252, '[1]DAR area codes'!A:B,2,FALSE)</f>
        <v>hawaii</v>
      </c>
      <c r="D1252" s="4">
        <v>2772.6</v>
      </c>
      <c r="E1252" s="6">
        <v>455.8</v>
      </c>
      <c r="F1252" s="3">
        <v>7771.7</v>
      </c>
      <c r="G1252" s="3">
        <v>12870.5</v>
      </c>
    </row>
    <row r="1253" spans="1:7" x14ac:dyDescent="0.2">
      <c r="A1253" s="3">
        <v>2006</v>
      </c>
      <c r="B1253" s="3">
        <v>106</v>
      </c>
      <c r="C1253" s="3" t="str">
        <f>VLOOKUP(B1253, '[1]DAR area codes'!A:B,2,FALSE)</f>
        <v>hawaii</v>
      </c>
      <c r="D1253" s="4">
        <v>2704.7</v>
      </c>
      <c r="E1253" s="6">
        <v>979.3</v>
      </c>
      <c r="F1253" s="3">
        <v>8828.1999999999989</v>
      </c>
      <c r="G1253" s="3">
        <v>70664</v>
      </c>
    </row>
    <row r="1254" spans="1:7" x14ac:dyDescent="0.2">
      <c r="A1254" s="3">
        <v>2006</v>
      </c>
      <c r="B1254" s="3">
        <v>107</v>
      </c>
      <c r="C1254" s="3" t="str">
        <f>VLOOKUP(B1254, '[1]DAR area codes'!A:B,2,FALSE)</f>
        <v>hawaii</v>
      </c>
      <c r="D1254" s="4">
        <v>557.5</v>
      </c>
      <c r="E1254" s="6"/>
      <c r="F1254" s="3">
        <v>2508.2000000000003</v>
      </c>
      <c r="G1254" s="3">
        <v>85625.7</v>
      </c>
    </row>
    <row r="1255" spans="1:7" x14ac:dyDescent="0.2">
      <c r="A1255" s="3">
        <v>2006</v>
      </c>
      <c r="B1255" s="3">
        <v>108</v>
      </c>
      <c r="C1255" s="3" t="str">
        <f>VLOOKUP(B1255, '[1]DAR area codes'!A:B,2,FALSE)</f>
        <v>hawaii</v>
      </c>
      <c r="D1255" s="4">
        <v>1675</v>
      </c>
      <c r="E1255" s="6"/>
      <c r="F1255" s="3">
        <v>2486.4</v>
      </c>
      <c r="G1255" s="3">
        <v>21846.5</v>
      </c>
    </row>
    <row r="1256" spans="1:7" x14ac:dyDescent="0.2">
      <c r="A1256" s="3">
        <v>2006</v>
      </c>
      <c r="B1256" s="3">
        <v>120</v>
      </c>
      <c r="C1256" s="3" t="str">
        <f>VLOOKUP(B1256, '[1]DAR area codes'!A:B,2,FALSE)</f>
        <v>hawaii</v>
      </c>
      <c r="D1256" s="4">
        <v>4054.4</v>
      </c>
      <c r="E1256" s="6"/>
      <c r="F1256" s="3">
        <v>0</v>
      </c>
      <c r="G1256" s="3">
        <v>43052.5</v>
      </c>
    </row>
    <row r="1257" spans="1:7" x14ac:dyDescent="0.2">
      <c r="A1257" s="3">
        <v>2006</v>
      </c>
      <c r="B1257" s="3">
        <v>121</v>
      </c>
      <c r="C1257" s="3" t="str">
        <f>VLOOKUP(B1257, '[1]DAR area codes'!A:B,2,FALSE)</f>
        <v>hawaii</v>
      </c>
      <c r="D1257" s="4">
        <v>5061.3999999999996</v>
      </c>
      <c r="E1257" s="6">
        <v>1474.7</v>
      </c>
      <c r="F1257" s="3">
        <v>24885</v>
      </c>
      <c r="G1257" s="3">
        <v>602839.69999999995</v>
      </c>
    </row>
    <row r="1258" spans="1:7" x14ac:dyDescent="0.2">
      <c r="A1258" s="3">
        <v>2006</v>
      </c>
      <c r="B1258" s="3">
        <v>122</v>
      </c>
      <c r="C1258" s="3" t="str">
        <f>VLOOKUP(B1258, '[1]DAR area codes'!A:B,2,FALSE)</f>
        <v>hawaii</v>
      </c>
      <c r="D1258" s="4">
        <v>8326.5</v>
      </c>
      <c r="E1258" s="6">
        <v>2232.6999999999998</v>
      </c>
      <c r="F1258" s="3">
        <v>511</v>
      </c>
      <c r="G1258" s="3">
        <v>99105.700000000012</v>
      </c>
    </row>
    <row r="1259" spans="1:7" x14ac:dyDescent="0.2">
      <c r="A1259" s="3">
        <v>2006</v>
      </c>
      <c r="B1259" s="3">
        <v>123</v>
      </c>
      <c r="C1259" s="3" t="str">
        <f>VLOOKUP(B1259, '[1]DAR area codes'!A:B,2,FALSE)</f>
        <v>hawaii</v>
      </c>
      <c r="E1259" s="6"/>
      <c r="F1259" s="3">
        <v>0</v>
      </c>
      <c r="G1259" s="3">
        <v>2595.6999999999998</v>
      </c>
    </row>
    <row r="1260" spans="1:7" x14ac:dyDescent="0.2">
      <c r="A1260" s="3">
        <v>2006</v>
      </c>
      <c r="B1260" s="3">
        <v>124</v>
      </c>
      <c r="C1260" s="3" t="str">
        <f>VLOOKUP(B1260, '[1]DAR area codes'!A:B,2,FALSE)</f>
        <v>hawaii</v>
      </c>
      <c r="E1260" s="6"/>
      <c r="F1260" s="3">
        <v>0</v>
      </c>
      <c r="G1260" s="3">
        <v>22914.5</v>
      </c>
    </row>
    <row r="1261" spans="1:7" x14ac:dyDescent="0.2">
      <c r="A1261" s="3">
        <v>2006</v>
      </c>
      <c r="B1261" s="3">
        <v>125</v>
      </c>
      <c r="C1261" s="3" t="str">
        <f>VLOOKUP(B1261, '[1]DAR area codes'!A:B,2,FALSE)</f>
        <v>hawaii</v>
      </c>
      <c r="D1261" s="4">
        <v>1304.8</v>
      </c>
      <c r="E1261" s="6"/>
      <c r="F1261" s="3">
        <v>25</v>
      </c>
      <c r="G1261" s="3">
        <v>213387.2</v>
      </c>
    </row>
    <row r="1262" spans="1:7" x14ac:dyDescent="0.2">
      <c r="A1262" s="3">
        <v>2006</v>
      </c>
      <c r="B1262" s="3">
        <v>126</v>
      </c>
      <c r="C1262" s="3" t="str">
        <f>VLOOKUP(B1262, '[1]DAR area codes'!A:B,2,FALSE)</f>
        <v>hawaii</v>
      </c>
      <c r="D1262" s="4">
        <v>976</v>
      </c>
      <c r="E1262" s="6">
        <v>393.6</v>
      </c>
      <c r="F1262" s="3">
        <v>308.8</v>
      </c>
      <c r="G1262" s="3">
        <v>173790.1</v>
      </c>
    </row>
    <row r="1263" spans="1:7" x14ac:dyDescent="0.2">
      <c r="A1263" s="3">
        <v>2006</v>
      </c>
      <c r="B1263" s="3">
        <v>127</v>
      </c>
      <c r="C1263" s="3" t="str">
        <f>VLOOKUP(B1263, '[1]DAR area codes'!A:B,2,FALSE)</f>
        <v>hawaii</v>
      </c>
      <c r="E1263" s="6"/>
      <c r="F1263" s="3">
        <v>0</v>
      </c>
      <c r="G1263" s="3">
        <v>46084.9</v>
      </c>
    </row>
    <row r="1264" spans="1:7" x14ac:dyDescent="0.2">
      <c r="A1264" s="3">
        <v>2006</v>
      </c>
      <c r="B1264" s="3">
        <v>128</v>
      </c>
      <c r="C1264" s="3" t="str">
        <f>VLOOKUP(B1264, '[1]DAR area codes'!A:B,2,FALSE)</f>
        <v>hawaii</v>
      </c>
      <c r="E1264" s="6"/>
      <c r="F1264" s="3">
        <v>0</v>
      </c>
      <c r="G1264" s="3">
        <v>143</v>
      </c>
    </row>
    <row r="1265" spans="1:7" x14ac:dyDescent="0.2">
      <c r="A1265" s="3">
        <v>2006</v>
      </c>
      <c r="B1265" s="3">
        <v>300</v>
      </c>
      <c r="C1265" s="3" t="str">
        <f>VLOOKUP(B1265, '[1]DAR area codes'!A:B,2,FALSE)</f>
        <v>maui</v>
      </c>
      <c r="E1265" s="6">
        <v>3005.8</v>
      </c>
      <c r="F1265" s="3">
        <v>66118.7</v>
      </c>
      <c r="G1265" s="3">
        <v>622.70000000000005</v>
      </c>
    </row>
    <row r="1266" spans="1:7" x14ac:dyDescent="0.2">
      <c r="A1266" s="3">
        <v>2006</v>
      </c>
      <c r="B1266" s="3">
        <v>301</v>
      </c>
      <c r="C1266" s="3" t="str">
        <f>VLOOKUP(B1266, '[1]DAR area codes'!A:B,2,FALSE)</f>
        <v>maui</v>
      </c>
      <c r="D1266" s="4">
        <v>81</v>
      </c>
      <c r="E1266" s="6">
        <v>678.4</v>
      </c>
      <c r="F1266" s="3">
        <v>1927</v>
      </c>
      <c r="G1266" s="3">
        <v>322</v>
      </c>
    </row>
    <row r="1267" spans="1:7" x14ac:dyDescent="0.2">
      <c r="A1267" s="3">
        <v>2006</v>
      </c>
      <c r="B1267" s="3">
        <v>302</v>
      </c>
      <c r="C1267" s="3" t="str">
        <f>VLOOKUP(B1267, '[1]DAR area codes'!A:B,2,FALSE)</f>
        <v>maui</v>
      </c>
      <c r="D1267" s="4">
        <v>1690</v>
      </c>
      <c r="E1267" s="6">
        <v>442.1</v>
      </c>
      <c r="F1267" s="3">
        <v>21399.200000000001</v>
      </c>
      <c r="G1267" s="3">
        <v>2741.9</v>
      </c>
    </row>
    <row r="1268" spans="1:7" x14ac:dyDescent="0.2">
      <c r="A1268" s="3">
        <v>2006</v>
      </c>
      <c r="B1268" s="3">
        <v>303</v>
      </c>
      <c r="C1268" s="3" t="str">
        <f>VLOOKUP(B1268, '[1]DAR area codes'!A:B,2,FALSE)</f>
        <v>maui</v>
      </c>
      <c r="D1268" s="4">
        <v>1552</v>
      </c>
      <c r="E1268" s="6">
        <v>239.5</v>
      </c>
      <c r="F1268" s="3">
        <v>0</v>
      </c>
      <c r="G1268" s="3">
        <v>4680.8999999999996</v>
      </c>
    </row>
    <row r="1269" spans="1:7" x14ac:dyDescent="0.2">
      <c r="A1269" s="3">
        <v>2006</v>
      </c>
      <c r="B1269" s="3">
        <v>304</v>
      </c>
      <c r="C1269" s="3" t="str">
        <f>VLOOKUP(B1269, '[1]DAR area codes'!A:B,2,FALSE)</f>
        <v>maui</v>
      </c>
      <c r="D1269" s="4">
        <v>3997.5</v>
      </c>
      <c r="E1269" s="6">
        <v>772</v>
      </c>
      <c r="F1269" s="3">
        <v>59</v>
      </c>
      <c r="G1269" s="3">
        <v>1161.5</v>
      </c>
    </row>
    <row r="1270" spans="1:7" x14ac:dyDescent="0.2">
      <c r="A1270" s="3">
        <v>2006</v>
      </c>
      <c r="B1270" s="3">
        <v>305</v>
      </c>
      <c r="C1270" s="3" t="str">
        <f>VLOOKUP(B1270, '[1]DAR area codes'!A:B,2,FALSE)</f>
        <v>maui</v>
      </c>
      <c r="D1270" s="4">
        <v>6519.4</v>
      </c>
      <c r="E1270" s="6">
        <v>1339.3</v>
      </c>
      <c r="F1270" s="3">
        <v>302</v>
      </c>
      <c r="G1270" s="3">
        <v>4127.6000000000004</v>
      </c>
    </row>
    <row r="1271" spans="1:7" x14ac:dyDescent="0.2">
      <c r="A1271" s="3">
        <v>2006</v>
      </c>
      <c r="B1271" s="3">
        <v>306</v>
      </c>
      <c r="C1271" s="3" t="str">
        <f>VLOOKUP(B1271, '[1]DAR area codes'!A:B,2,FALSE)</f>
        <v>maui</v>
      </c>
      <c r="E1271" s="6"/>
      <c r="F1271" s="3">
        <v>0</v>
      </c>
      <c r="G1271" s="3">
        <v>5598</v>
      </c>
    </row>
    <row r="1272" spans="1:7" x14ac:dyDescent="0.2">
      <c r="A1272" s="3">
        <v>2006</v>
      </c>
      <c r="B1272" s="3">
        <v>307</v>
      </c>
      <c r="C1272" s="3" t="str">
        <f>VLOOKUP(B1272, '[1]DAR area codes'!A:B,2,FALSE)</f>
        <v>maui</v>
      </c>
      <c r="D1272" s="4">
        <v>215.8</v>
      </c>
      <c r="E1272" s="6"/>
      <c r="F1272" s="3">
        <v>0</v>
      </c>
      <c r="G1272" s="3">
        <v>1457.6</v>
      </c>
    </row>
    <row r="1273" spans="1:7" x14ac:dyDescent="0.2">
      <c r="A1273" s="3">
        <v>2006</v>
      </c>
      <c r="B1273" s="3">
        <v>308</v>
      </c>
      <c r="C1273" s="3" t="str">
        <f>VLOOKUP(B1273, '[1]DAR area codes'!A:B,2,FALSE)</f>
        <v>maui</v>
      </c>
      <c r="D1273" s="4">
        <v>1976.8</v>
      </c>
      <c r="E1273" s="6">
        <v>1419.7</v>
      </c>
      <c r="F1273" s="3">
        <v>1343.5</v>
      </c>
      <c r="G1273" s="3">
        <v>13356.900000000001</v>
      </c>
    </row>
    <row r="1274" spans="1:7" x14ac:dyDescent="0.2">
      <c r="A1274" s="3">
        <v>2006</v>
      </c>
      <c r="B1274" s="3">
        <v>309</v>
      </c>
      <c r="C1274" s="3" t="str">
        <f>VLOOKUP(B1274, '[1]DAR area codes'!A:B,2,FALSE)</f>
        <v>maui</v>
      </c>
      <c r="E1274" s="6">
        <v>1411.2</v>
      </c>
      <c r="F1274" s="3">
        <v>448.3</v>
      </c>
      <c r="G1274" s="3">
        <v>1280</v>
      </c>
    </row>
    <row r="1275" spans="1:7" x14ac:dyDescent="0.2">
      <c r="A1275" s="3">
        <v>2006</v>
      </c>
      <c r="B1275" s="3">
        <v>310</v>
      </c>
      <c r="C1275" s="3" t="str">
        <f>VLOOKUP(B1275, '[1]DAR area codes'!A:B,2,FALSE)</f>
        <v>maui</v>
      </c>
      <c r="E1275" s="6"/>
      <c r="F1275" s="3">
        <v>1434.5</v>
      </c>
      <c r="G1275" s="3">
        <v>1830.5</v>
      </c>
    </row>
    <row r="1276" spans="1:7" x14ac:dyDescent="0.2">
      <c r="A1276" s="3">
        <v>2006</v>
      </c>
      <c r="B1276" s="3">
        <v>311</v>
      </c>
      <c r="C1276" s="3" t="str">
        <f>VLOOKUP(B1276, '[1]DAR area codes'!A:B,2,FALSE)</f>
        <v>maui</v>
      </c>
      <c r="E1276" s="6"/>
      <c r="F1276" s="3">
        <v>0</v>
      </c>
      <c r="G1276" s="3">
        <v>1550</v>
      </c>
    </row>
    <row r="1277" spans="1:7" x14ac:dyDescent="0.2">
      <c r="A1277" s="3">
        <v>2006</v>
      </c>
      <c r="B1277" s="3">
        <v>312</v>
      </c>
      <c r="C1277" s="3" t="str">
        <f>VLOOKUP(B1277, '[1]DAR area codes'!A:B,2,FALSE)</f>
        <v>maui</v>
      </c>
      <c r="D1277" s="4">
        <v>279.5</v>
      </c>
      <c r="E1277" s="6"/>
      <c r="F1277" s="3">
        <v>0</v>
      </c>
      <c r="G1277" s="3">
        <v>633</v>
      </c>
    </row>
    <row r="1278" spans="1:7" x14ac:dyDescent="0.2">
      <c r="A1278" s="3">
        <v>2006</v>
      </c>
      <c r="B1278" s="3">
        <v>313</v>
      </c>
      <c r="C1278" s="3" t="str">
        <f>VLOOKUP(B1278, '[1]DAR area codes'!A:B,2,FALSE)</f>
        <v>maui</v>
      </c>
      <c r="D1278" s="4">
        <v>4011.5</v>
      </c>
      <c r="E1278" s="6"/>
      <c r="F1278" s="3">
        <v>0</v>
      </c>
      <c r="G1278" s="3">
        <v>3395.5</v>
      </c>
    </row>
    <row r="1279" spans="1:7" x14ac:dyDescent="0.2">
      <c r="A1279" s="3">
        <v>2006</v>
      </c>
      <c r="B1279" s="3">
        <v>314</v>
      </c>
      <c r="C1279" s="3" t="str">
        <f>VLOOKUP(B1279, '[1]DAR area codes'!A:B,2,FALSE)</f>
        <v>maui</v>
      </c>
      <c r="D1279" s="4">
        <v>4659.3</v>
      </c>
      <c r="E1279" s="6">
        <v>881.9</v>
      </c>
      <c r="F1279" s="3">
        <v>0</v>
      </c>
      <c r="G1279" s="3">
        <v>928</v>
      </c>
    </row>
    <row r="1280" spans="1:7" x14ac:dyDescent="0.2">
      <c r="A1280" s="3">
        <v>2006</v>
      </c>
      <c r="B1280" s="3">
        <v>320</v>
      </c>
      <c r="C1280" s="3" t="str">
        <f>VLOOKUP(B1280, '[1]DAR area codes'!A:B,2,FALSE)</f>
        <v>maui</v>
      </c>
      <c r="D1280" s="4">
        <v>17231.8</v>
      </c>
      <c r="E1280" s="6">
        <v>2752</v>
      </c>
      <c r="F1280" s="3">
        <v>15025.8</v>
      </c>
      <c r="G1280" s="3">
        <v>17045.5</v>
      </c>
    </row>
    <row r="1281" spans="1:7" x14ac:dyDescent="0.2">
      <c r="A1281" s="3">
        <v>2006</v>
      </c>
      <c r="B1281" s="3">
        <v>321</v>
      </c>
      <c r="C1281" s="3" t="str">
        <f>VLOOKUP(B1281, '[1]DAR area codes'!A:B,2,FALSE)</f>
        <v>maui</v>
      </c>
      <c r="D1281" s="4">
        <v>10190.200000000001</v>
      </c>
      <c r="E1281" s="6">
        <v>1854.7</v>
      </c>
      <c r="F1281" s="3">
        <v>165.7</v>
      </c>
      <c r="G1281" s="3">
        <v>1609.5</v>
      </c>
    </row>
    <row r="1282" spans="1:7" x14ac:dyDescent="0.2">
      <c r="A1282" s="3">
        <v>2006</v>
      </c>
      <c r="B1282" s="3">
        <v>322</v>
      </c>
      <c r="C1282" s="3" t="str">
        <f>VLOOKUP(B1282, '[1]DAR area codes'!A:B,2,FALSE)</f>
        <v>maui</v>
      </c>
      <c r="D1282" s="4">
        <v>805.5</v>
      </c>
      <c r="E1282" s="6"/>
      <c r="F1282" s="3">
        <v>0</v>
      </c>
      <c r="G1282" s="3">
        <v>10481.5</v>
      </c>
    </row>
    <row r="1283" spans="1:7" x14ac:dyDescent="0.2">
      <c r="A1283" s="3">
        <v>2006</v>
      </c>
      <c r="B1283" s="3">
        <v>323</v>
      </c>
      <c r="C1283" s="3" t="str">
        <f>VLOOKUP(B1283, '[1]DAR area codes'!A:B,2,FALSE)</f>
        <v>maui</v>
      </c>
      <c r="E1283" s="6"/>
      <c r="F1283" s="3">
        <v>0</v>
      </c>
      <c r="G1283" s="3">
        <v>89349.1</v>
      </c>
    </row>
    <row r="1284" spans="1:7" x14ac:dyDescent="0.2">
      <c r="A1284" s="3">
        <v>2006</v>
      </c>
      <c r="B1284" s="3">
        <v>324</v>
      </c>
      <c r="C1284" s="3" t="str">
        <f>VLOOKUP(B1284, '[1]DAR area codes'!A:B,2,FALSE)</f>
        <v>maui</v>
      </c>
      <c r="D1284" s="4">
        <v>466</v>
      </c>
      <c r="E1284" s="6"/>
      <c r="F1284" s="3">
        <v>0</v>
      </c>
      <c r="G1284" s="3">
        <v>9559.7999999999993</v>
      </c>
    </row>
    <row r="1285" spans="1:7" x14ac:dyDescent="0.2">
      <c r="A1285" s="3">
        <v>2006</v>
      </c>
      <c r="B1285" s="3">
        <v>325</v>
      </c>
      <c r="C1285" s="3" t="str">
        <f>VLOOKUP(B1285, '[1]DAR area codes'!A:B,2,FALSE)</f>
        <v>maui</v>
      </c>
      <c r="D1285" s="4">
        <v>714.9</v>
      </c>
      <c r="E1285" s="6"/>
      <c r="F1285" s="3">
        <v>0</v>
      </c>
      <c r="G1285" s="3">
        <v>10711.8</v>
      </c>
    </row>
    <row r="1286" spans="1:7" x14ac:dyDescent="0.2">
      <c r="A1286" s="3">
        <v>2006</v>
      </c>
      <c r="B1286" s="3">
        <v>326</v>
      </c>
      <c r="C1286" s="3" t="str">
        <f>VLOOKUP(B1286, '[1]DAR area codes'!A:B,2,FALSE)</f>
        <v>maui</v>
      </c>
      <c r="E1286" s="6"/>
      <c r="F1286" s="3">
        <v>0</v>
      </c>
      <c r="G1286" s="3">
        <v>22875.5</v>
      </c>
    </row>
    <row r="1287" spans="1:7" x14ac:dyDescent="0.2">
      <c r="A1287" s="3">
        <v>2006</v>
      </c>
      <c r="B1287" s="3">
        <v>327</v>
      </c>
      <c r="C1287" s="3" t="str">
        <f>VLOOKUP(B1287, '[1]DAR area codes'!A:B,2,FALSE)</f>
        <v>maui</v>
      </c>
      <c r="D1287" s="4">
        <v>13778.5</v>
      </c>
      <c r="E1287" s="6">
        <v>1330.7</v>
      </c>
      <c r="F1287" s="3">
        <v>54</v>
      </c>
      <c r="G1287" s="3">
        <v>19116.5</v>
      </c>
    </row>
    <row r="1288" spans="1:7" x14ac:dyDescent="0.2">
      <c r="A1288" s="3">
        <v>2006</v>
      </c>
      <c r="B1288" s="3">
        <v>328</v>
      </c>
      <c r="C1288" s="3" t="str">
        <f>VLOOKUP(B1288, '[1]DAR area codes'!A:B,2,FALSE)</f>
        <v>maui</v>
      </c>
      <c r="D1288" s="4">
        <v>3308.5</v>
      </c>
      <c r="E1288" s="6"/>
      <c r="F1288" s="3">
        <v>104</v>
      </c>
      <c r="G1288" s="3">
        <v>49918.5</v>
      </c>
    </row>
    <row r="1289" spans="1:7" x14ac:dyDescent="0.2">
      <c r="A1289" s="3">
        <v>2006</v>
      </c>
      <c r="B1289" s="3">
        <v>331</v>
      </c>
      <c r="C1289" s="3" t="str">
        <f>VLOOKUP(B1289, '[1]DAR area codes'!A:B,2,FALSE)</f>
        <v>maui</v>
      </c>
      <c r="D1289" s="4">
        <v>41347</v>
      </c>
      <c r="E1289" s="6">
        <v>16493.3</v>
      </c>
      <c r="F1289" s="3">
        <v>286.60000000000002</v>
      </c>
      <c r="G1289" s="3">
        <v>27893</v>
      </c>
    </row>
    <row r="1290" spans="1:7" x14ac:dyDescent="0.2">
      <c r="A1290" s="3">
        <v>2006</v>
      </c>
      <c r="B1290" s="3">
        <v>332</v>
      </c>
      <c r="C1290" s="3" t="str">
        <f>VLOOKUP(B1290, '[1]DAR area codes'!A:B,2,FALSE)</f>
        <v>maui</v>
      </c>
      <c r="E1290" s="6"/>
      <c r="F1290" s="3">
        <v>0</v>
      </c>
      <c r="G1290" s="3">
        <v>8348</v>
      </c>
    </row>
    <row r="1291" spans="1:7" x14ac:dyDescent="0.2">
      <c r="A1291" s="3">
        <v>2006</v>
      </c>
      <c r="B1291" s="3">
        <v>333</v>
      </c>
      <c r="C1291" s="3" t="str">
        <f>VLOOKUP(B1291, '[1]DAR area codes'!A:B,2,FALSE)</f>
        <v>maui</v>
      </c>
      <c r="D1291" s="4">
        <v>502.5</v>
      </c>
      <c r="E1291" s="6"/>
      <c r="F1291" s="3">
        <v>0</v>
      </c>
      <c r="G1291" s="3">
        <v>2872</v>
      </c>
    </row>
    <row r="1292" spans="1:7" x14ac:dyDescent="0.2">
      <c r="A1292" s="3">
        <v>2006</v>
      </c>
      <c r="B1292" s="3">
        <v>400</v>
      </c>
      <c r="C1292" s="3" t="str">
        <f>VLOOKUP(B1292, '[1]DAR area codes'!A:B,2,FALSE)</f>
        <v>oahu</v>
      </c>
      <c r="D1292" s="4">
        <v>77.5</v>
      </c>
      <c r="E1292" s="6"/>
      <c r="F1292" s="3">
        <v>38567.30000000001</v>
      </c>
      <c r="G1292" s="3">
        <v>1212</v>
      </c>
    </row>
    <row r="1293" spans="1:7" x14ac:dyDescent="0.2">
      <c r="A1293" s="3">
        <v>2006</v>
      </c>
      <c r="B1293" s="3">
        <v>401</v>
      </c>
      <c r="C1293" s="3" t="str">
        <f>VLOOKUP(B1293, '[1]DAR area codes'!A:B,2,FALSE)</f>
        <v>oahu</v>
      </c>
      <c r="D1293" s="4">
        <v>121</v>
      </c>
      <c r="E1293" s="6">
        <v>995.6</v>
      </c>
      <c r="F1293" s="3">
        <v>62321.499999999993</v>
      </c>
      <c r="G1293" s="3">
        <v>2885.9</v>
      </c>
    </row>
    <row r="1294" spans="1:7" x14ac:dyDescent="0.2">
      <c r="A1294" s="3">
        <v>2006</v>
      </c>
      <c r="B1294" s="3">
        <v>402</v>
      </c>
      <c r="C1294" s="3" t="str">
        <f>VLOOKUP(B1294, '[1]DAR area codes'!A:B,2,FALSE)</f>
        <v>oahu</v>
      </c>
      <c r="E1294" s="6">
        <v>430.9</v>
      </c>
      <c r="F1294" s="3">
        <v>69870.999999999985</v>
      </c>
      <c r="G1294" s="3">
        <v>3613.1</v>
      </c>
    </row>
    <row r="1295" spans="1:7" x14ac:dyDescent="0.2">
      <c r="A1295" s="3">
        <v>2006</v>
      </c>
      <c r="B1295" s="3">
        <v>403</v>
      </c>
      <c r="C1295" s="3" t="str">
        <f>VLOOKUP(B1295, '[1]DAR area codes'!A:B,2,FALSE)</f>
        <v>oahu</v>
      </c>
      <c r="D1295" s="4">
        <v>807.3</v>
      </c>
      <c r="E1295" s="6">
        <v>1957.7</v>
      </c>
      <c r="F1295" s="3">
        <v>119260.8</v>
      </c>
      <c r="G1295" s="3">
        <v>32171.3</v>
      </c>
    </row>
    <row r="1296" spans="1:7" x14ac:dyDescent="0.2">
      <c r="A1296" s="3">
        <v>2006</v>
      </c>
      <c r="B1296" s="3">
        <v>404</v>
      </c>
      <c r="C1296" s="3" t="str">
        <f>VLOOKUP(B1296, '[1]DAR area codes'!A:B,2,FALSE)</f>
        <v>oahu</v>
      </c>
      <c r="D1296" s="4">
        <v>1230.5</v>
      </c>
      <c r="E1296" s="6">
        <v>1354.6</v>
      </c>
      <c r="F1296" s="3">
        <v>68623.999999999985</v>
      </c>
      <c r="G1296" s="3">
        <v>15487.4</v>
      </c>
    </row>
    <row r="1297" spans="1:7" x14ac:dyDescent="0.2">
      <c r="A1297" s="3">
        <v>2006</v>
      </c>
      <c r="B1297" s="3">
        <v>405</v>
      </c>
      <c r="C1297" s="3" t="str">
        <f>VLOOKUP(B1297, '[1]DAR area codes'!A:B,2,FALSE)</f>
        <v>oahu</v>
      </c>
      <c r="D1297" s="4">
        <v>354.7</v>
      </c>
      <c r="E1297" s="6">
        <v>1422.3</v>
      </c>
      <c r="F1297" s="3">
        <v>15191.4</v>
      </c>
      <c r="G1297" s="3">
        <v>4187.8</v>
      </c>
    </row>
    <row r="1298" spans="1:7" x14ac:dyDescent="0.2">
      <c r="A1298" s="3">
        <v>2006</v>
      </c>
      <c r="B1298" s="3">
        <v>406</v>
      </c>
      <c r="C1298" s="3" t="str">
        <f>VLOOKUP(B1298, '[1]DAR area codes'!A:B,2,FALSE)</f>
        <v>oahu</v>
      </c>
      <c r="E1298" s="6"/>
      <c r="F1298" s="3">
        <v>13179.499999999998</v>
      </c>
      <c r="G1298" s="3">
        <v>6378</v>
      </c>
    </row>
    <row r="1299" spans="1:7" x14ac:dyDescent="0.2">
      <c r="A1299" s="3">
        <v>2006</v>
      </c>
      <c r="B1299" s="3">
        <v>407</v>
      </c>
      <c r="C1299" s="3" t="str">
        <f>VLOOKUP(B1299, '[1]DAR area codes'!A:B,2,FALSE)</f>
        <v>oahu</v>
      </c>
      <c r="E1299" s="6">
        <v>979.7</v>
      </c>
      <c r="F1299" s="3">
        <v>57432.5</v>
      </c>
      <c r="G1299" s="3">
        <v>3145</v>
      </c>
    </row>
    <row r="1300" spans="1:7" x14ac:dyDescent="0.2">
      <c r="A1300" s="3">
        <v>2006</v>
      </c>
      <c r="B1300" s="3">
        <v>408</v>
      </c>
      <c r="C1300" s="3" t="str">
        <f>VLOOKUP(B1300, '[1]DAR area codes'!A:B,2,FALSE)</f>
        <v>oahu</v>
      </c>
      <c r="D1300" s="4">
        <v>470.5</v>
      </c>
      <c r="E1300" s="6">
        <v>310</v>
      </c>
      <c r="F1300" s="3">
        <v>4081.5</v>
      </c>
      <c r="G1300" s="3">
        <v>629</v>
      </c>
    </row>
    <row r="1301" spans="1:7" x14ac:dyDescent="0.2">
      <c r="A1301" s="3">
        <v>2006</v>
      </c>
      <c r="B1301" s="3">
        <v>409</v>
      </c>
      <c r="C1301" s="3" t="str">
        <f>VLOOKUP(B1301, '[1]DAR area codes'!A:B,2,FALSE)</f>
        <v>oahu</v>
      </c>
      <c r="D1301" s="4">
        <v>1050</v>
      </c>
      <c r="E1301" s="6">
        <v>213.5</v>
      </c>
      <c r="F1301" s="3">
        <v>10649.499999999998</v>
      </c>
      <c r="G1301" s="3">
        <v>1571.9</v>
      </c>
    </row>
    <row r="1302" spans="1:7" x14ac:dyDescent="0.2">
      <c r="A1302" s="3">
        <v>2006</v>
      </c>
      <c r="B1302" s="3">
        <v>420</v>
      </c>
      <c r="C1302" s="3" t="str">
        <f>VLOOKUP(B1302, '[1]DAR area codes'!A:B,2,FALSE)</f>
        <v>oahu</v>
      </c>
      <c r="E1302" s="6"/>
      <c r="F1302" s="3">
        <v>0</v>
      </c>
      <c r="G1302" s="3">
        <v>31258</v>
      </c>
    </row>
    <row r="1303" spans="1:7" x14ac:dyDescent="0.2">
      <c r="A1303" s="3">
        <v>2006</v>
      </c>
      <c r="B1303" s="3">
        <v>421</v>
      </c>
      <c r="C1303" s="3" t="str">
        <f>VLOOKUP(B1303, '[1]DAR area codes'!A:B,2,FALSE)</f>
        <v>oahu</v>
      </c>
      <c r="E1303" s="6"/>
      <c r="F1303" s="3">
        <v>79</v>
      </c>
      <c r="G1303" s="3">
        <v>120764.6</v>
      </c>
    </row>
    <row r="1304" spans="1:7" x14ac:dyDescent="0.2">
      <c r="A1304" s="3">
        <v>2006</v>
      </c>
      <c r="B1304" s="3">
        <v>422</v>
      </c>
      <c r="C1304" s="3" t="str">
        <f>VLOOKUP(B1304, '[1]DAR area codes'!A:B,2,FALSE)</f>
        <v>oahu</v>
      </c>
      <c r="E1304" s="6"/>
      <c r="F1304" s="3">
        <v>3909.4</v>
      </c>
      <c r="G1304" s="3">
        <v>126992.29999999999</v>
      </c>
    </row>
    <row r="1305" spans="1:7" x14ac:dyDescent="0.2">
      <c r="A1305" s="3">
        <v>2006</v>
      </c>
      <c r="B1305" s="3">
        <v>423</v>
      </c>
      <c r="C1305" s="3" t="str">
        <f>VLOOKUP(B1305, '[1]DAR area codes'!A:B,2,FALSE)</f>
        <v>oahu</v>
      </c>
      <c r="D1305" s="4">
        <v>1514.5</v>
      </c>
      <c r="E1305" s="6">
        <v>575.20000000000005</v>
      </c>
      <c r="F1305" s="3">
        <v>12639.6</v>
      </c>
      <c r="G1305" s="3">
        <v>219247.8</v>
      </c>
    </row>
    <row r="1306" spans="1:7" x14ac:dyDescent="0.2">
      <c r="A1306" s="3">
        <v>2006</v>
      </c>
      <c r="B1306" s="3">
        <v>424</v>
      </c>
      <c r="C1306" s="3" t="str">
        <f>VLOOKUP(B1306, '[1]DAR area codes'!A:B,2,FALSE)</f>
        <v>oahu</v>
      </c>
      <c r="D1306" s="4">
        <v>906.4</v>
      </c>
      <c r="E1306" s="6">
        <v>544.5</v>
      </c>
      <c r="F1306" s="3">
        <v>0</v>
      </c>
      <c r="G1306" s="3">
        <v>71999.600000000006</v>
      </c>
    </row>
    <row r="1307" spans="1:7" x14ac:dyDescent="0.2">
      <c r="A1307" s="3">
        <v>2006</v>
      </c>
      <c r="B1307" s="3">
        <v>425</v>
      </c>
      <c r="C1307" s="3" t="str">
        <f>VLOOKUP(B1307, '[1]DAR area codes'!A:B,2,FALSE)</f>
        <v>oahu</v>
      </c>
      <c r="D1307" s="4">
        <v>467.4</v>
      </c>
      <c r="E1307" s="6"/>
      <c r="F1307" s="3">
        <v>0</v>
      </c>
      <c r="G1307" s="3">
        <v>290621.5</v>
      </c>
    </row>
    <row r="1308" spans="1:7" x14ac:dyDescent="0.2">
      <c r="A1308" s="3">
        <v>2006</v>
      </c>
      <c r="B1308" s="3">
        <v>426</v>
      </c>
      <c r="C1308" s="3" t="str">
        <f>VLOOKUP(B1308, '[1]DAR area codes'!A:B,2,FALSE)</f>
        <v>oahu</v>
      </c>
      <c r="E1308" s="6"/>
      <c r="F1308" s="3">
        <v>0</v>
      </c>
      <c r="G1308" s="3">
        <v>88369</v>
      </c>
    </row>
    <row r="1309" spans="1:7" x14ac:dyDescent="0.2">
      <c r="A1309" s="3">
        <v>2006</v>
      </c>
      <c r="B1309" s="3">
        <v>427</v>
      </c>
      <c r="C1309" s="3" t="str">
        <f>VLOOKUP(B1309, '[1]DAR area codes'!A:B,2,FALSE)</f>
        <v>oahu</v>
      </c>
      <c r="E1309" s="6"/>
      <c r="F1309" s="3">
        <v>0</v>
      </c>
      <c r="G1309" s="3">
        <v>327362.5</v>
      </c>
    </row>
    <row r="1310" spans="1:7" x14ac:dyDescent="0.2">
      <c r="A1310" s="3">
        <v>2006</v>
      </c>
      <c r="B1310" s="3">
        <v>428</v>
      </c>
      <c r="C1310" s="3" t="str">
        <f>VLOOKUP(B1310, '[1]DAR area codes'!A:B,2,FALSE)</f>
        <v>oahu</v>
      </c>
      <c r="D1310" s="4">
        <v>355</v>
      </c>
      <c r="E1310" s="6"/>
      <c r="F1310" s="3">
        <v>0</v>
      </c>
      <c r="G1310" s="3">
        <v>37283</v>
      </c>
    </row>
    <row r="1311" spans="1:7" x14ac:dyDescent="0.2">
      <c r="A1311" s="3">
        <v>2006</v>
      </c>
      <c r="B1311" s="3">
        <v>429</v>
      </c>
      <c r="C1311" s="3" t="str">
        <f>VLOOKUP(B1311, '[1]DAR area codes'!A:B,2,FALSE)</f>
        <v>oahu</v>
      </c>
      <c r="D1311" s="4">
        <v>4216.8999999999996</v>
      </c>
      <c r="E1311" s="6">
        <v>285.10000000000002</v>
      </c>
      <c r="F1311" s="3">
        <v>0</v>
      </c>
      <c r="G1311" s="3">
        <v>31150</v>
      </c>
    </row>
    <row r="1312" spans="1:7" x14ac:dyDescent="0.2">
      <c r="A1312" s="3">
        <v>2006</v>
      </c>
      <c r="B1312" s="3">
        <v>500</v>
      </c>
      <c r="C1312" s="3" t="str">
        <f>VLOOKUP(B1312, '[1]DAR area codes'!A:B,2,FALSE)</f>
        <v>kauai</v>
      </c>
      <c r="D1312" s="4">
        <v>1155.0999999999999</v>
      </c>
      <c r="E1312" s="6">
        <v>2655.4</v>
      </c>
      <c r="F1312" s="3">
        <v>154457.49999999997</v>
      </c>
      <c r="G1312" s="3">
        <v>25186.7</v>
      </c>
    </row>
    <row r="1313" spans="1:7" x14ac:dyDescent="0.2">
      <c r="A1313" s="3">
        <v>2006</v>
      </c>
      <c r="B1313" s="3">
        <v>501</v>
      </c>
      <c r="C1313" s="3" t="str">
        <f>VLOOKUP(B1313, '[1]DAR area codes'!A:B,2,FALSE)</f>
        <v>kauai</v>
      </c>
      <c r="E1313" s="6"/>
      <c r="F1313" s="3">
        <v>6611</v>
      </c>
      <c r="G1313" s="3">
        <v>12653.3</v>
      </c>
    </row>
    <row r="1314" spans="1:7" x14ac:dyDescent="0.2">
      <c r="A1314" s="3">
        <v>2006</v>
      </c>
      <c r="B1314" s="3">
        <v>502</v>
      </c>
      <c r="C1314" s="3" t="str">
        <f>VLOOKUP(B1314, '[1]DAR area codes'!A:B,2,FALSE)</f>
        <v>kauai</v>
      </c>
      <c r="D1314" s="4">
        <v>159</v>
      </c>
      <c r="E1314" s="6">
        <v>93</v>
      </c>
      <c r="F1314" s="3">
        <v>0</v>
      </c>
      <c r="G1314" s="3">
        <v>3084.5</v>
      </c>
    </row>
    <row r="1315" spans="1:7" x14ac:dyDescent="0.2">
      <c r="A1315" s="3">
        <v>2006</v>
      </c>
      <c r="B1315" s="3">
        <v>503</v>
      </c>
      <c r="C1315" s="3" t="str">
        <f>VLOOKUP(B1315, '[1]DAR area codes'!A:B,2,FALSE)</f>
        <v>kauai</v>
      </c>
      <c r="D1315" s="4">
        <v>189.8</v>
      </c>
      <c r="E1315" s="6">
        <v>387.6</v>
      </c>
      <c r="F1315" s="3">
        <v>44300.9</v>
      </c>
      <c r="G1315" s="3">
        <v>7839</v>
      </c>
    </row>
    <row r="1316" spans="1:7" x14ac:dyDescent="0.2">
      <c r="A1316" s="3">
        <v>2006</v>
      </c>
      <c r="B1316" s="3">
        <v>504</v>
      </c>
      <c r="C1316" s="3" t="str">
        <f>VLOOKUP(B1316, '[1]DAR area codes'!A:B,2,FALSE)</f>
        <v>kauai</v>
      </c>
      <c r="D1316" s="4">
        <v>431</v>
      </c>
      <c r="E1316" s="6">
        <v>1164.8</v>
      </c>
      <c r="F1316" s="3">
        <v>6509.7</v>
      </c>
      <c r="G1316" s="3">
        <v>45246.5</v>
      </c>
    </row>
    <row r="1317" spans="1:7" x14ac:dyDescent="0.2">
      <c r="A1317" s="3">
        <v>2006</v>
      </c>
      <c r="B1317" s="3">
        <v>505</v>
      </c>
      <c r="C1317" s="3" t="str">
        <f>VLOOKUP(B1317, '[1]DAR area codes'!A:B,2,FALSE)</f>
        <v>kauai</v>
      </c>
      <c r="E1317" s="6">
        <v>5653</v>
      </c>
      <c r="F1317" s="3">
        <v>0</v>
      </c>
      <c r="G1317" s="3">
        <v>20796.5</v>
      </c>
    </row>
    <row r="1318" spans="1:7" x14ac:dyDescent="0.2">
      <c r="A1318" s="3">
        <v>2006</v>
      </c>
      <c r="B1318" s="3">
        <v>506</v>
      </c>
      <c r="C1318" s="3" t="str">
        <f>VLOOKUP(B1318, '[1]DAR area codes'!A:B,2,FALSE)</f>
        <v>kauai</v>
      </c>
      <c r="D1318" s="4">
        <v>8643</v>
      </c>
      <c r="E1318" s="6">
        <v>6012.1</v>
      </c>
      <c r="F1318" s="3">
        <v>1727</v>
      </c>
      <c r="G1318" s="3">
        <v>4684</v>
      </c>
    </row>
    <row r="1319" spans="1:7" x14ac:dyDescent="0.2">
      <c r="A1319" s="3">
        <v>2006</v>
      </c>
      <c r="B1319" s="3">
        <v>507</v>
      </c>
      <c r="C1319" s="3" t="str">
        <f>VLOOKUP(B1319, '[1]DAR area codes'!A:B,2,FALSE)</f>
        <v>kauai</v>
      </c>
      <c r="E1319" s="6"/>
      <c r="F1319" s="3">
        <v>0</v>
      </c>
      <c r="G1319" s="3">
        <v>0</v>
      </c>
    </row>
    <row r="1320" spans="1:7" x14ac:dyDescent="0.2">
      <c r="A1320" s="3">
        <v>2006</v>
      </c>
      <c r="B1320" s="3">
        <v>508</v>
      </c>
      <c r="C1320" s="3" t="str">
        <f>VLOOKUP(B1320, '[1]DAR area codes'!A:B,2,FALSE)</f>
        <v>kauai</v>
      </c>
      <c r="E1320" s="6"/>
      <c r="F1320" s="3">
        <v>0</v>
      </c>
      <c r="G1320" s="3">
        <v>18626</v>
      </c>
    </row>
    <row r="1321" spans="1:7" x14ac:dyDescent="0.2">
      <c r="A1321" s="3">
        <v>2006</v>
      </c>
      <c r="B1321" s="3">
        <v>520</v>
      </c>
      <c r="C1321" s="3" t="str">
        <f>VLOOKUP(B1321, '[1]DAR area codes'!A:B,2,FALSE)</f>
        <v>kauai</v>
      </c>
      <c r="D1321" s="4">
        <v>229</v>
      </c>
      <c r="E1321" s="6">
        <v>327.2</v>
      </c>
      <c r="F1321" s="3">
        <v>2328</v>
      </c>
      <c r="G1321" s="3">
        <v>83138</v>
      </c>
    </row>
    <row r="1322" spans="1:7" x14ac:dyDescent="0.2">
      <c r="A1322" s="3">
        <v>2006</v>
      </c>
      <c r="B1322" s="3">
        <v>521</v>
      </c>
      <c r="C1322" s="3" t="str">
        <f>VLOOKUP(B1322, '[1]DAR area codes'!A:B,2,FALSE)</f>
        <v>kauai</v>
      </c>
      <c r="E1322" s="6"/>
      <c r="F1322" s="3">
        <v>0</v>
      </c>
      <c r="G1322" s="3">
        <v>14029.8</v>
      </c>
    </row>
    <row r="1323" spans="1:7" x14ac:dyDescent="0.2">
      <c r="A1323" s="3">
        <v>2006</v>
      </c>
      <c r="B1323" s="3">
        <v>522</v>
      </c>
      <c r="C1323" s="3" t="str">
        <f>VLOOKUP(B1323, '[1]DAR area codes'!A:B,2,FALSE)</f>
        <v>kauai</v>
      </c>
      <c r="E1323" s="6"/>
      <c r="F1323" s="3">
        <v>0</v>
      </c>
      <c r="G1323" s="3">
        <v>24939</v>
      </c>
    </row>
    <row r="1324" spans="1:7" x14ac:dyDescent="0.2">
      <c r="A1324" s="3">
        <v>2006</v>
      </c>
      <c r="B1324" s="3">
        <v>523</v>
      </c>
      <c r="C1324" s="3" t="str">
        <f>VLOOKUP(B1324, '[1]DAR area codes'!A:B,2,FALSE)</f>
        <v>kauai</v>
      </c>
      <c r="E1324" s="6"/>
      <c r="F1324" s="3">
        <v>0</v>
      </c>
      <c r="G1324" s="3">
        <v>25328.5</v>
      </c>
    </row>
    <row r="1325" spans="1:7" x14ac:dyDescent="0.2">
      <c r="A1325" s="3">
        <v>2006</v>
      </c>
      <c r="B1325" s="3">
        <v>524</v>
      </c>
      <c r="C1325" s="3" t="str">
        <f>VLOOKUP(B1325, '[1]DAR area codes'!A:B,2,FALSE)</f>
        <v>kauai</v>
      </c>
      <c r="D1325" s="4">
        <v>1253.2</v>
      </c>
      <c r="E1325" s="6">
        <v>2992.4</v>
      </c>
      <c r="F1325" s="3">
        <v>189.5</v>
      </c>
      <c r="G1325" s="3">
        <v>106995.1</v>
      </c>
    </row>
    <row r="1326" spans="1:7" x14ac:dyDescent="0.2">
      <c r="A1326" s="3">
        <v>2006</v>
      </c>
      <c r="B1326" s="3">
        <v>525</v>
      </c>
      <c r="C1326" s="3" t="str">
        <f>VLOOKUP(B1326, '[1]DAR area codes'!A:B,2,FALSE)</f>
        <v>kauai</v>
      </c>
      <c r="E1326" s="6"/>
      <c r="F1326" s="3">
        <v>0</v>
      </c>
      <c r="G1326" s="3">
        <v>5011</v>
      </c>
    </row>
    <row r="1327" spans="1:7" x14ac:dyDescent="0.2">
      <c r="A1327" s="3">
        <v>2006</v>
      </c>
      <c r="B1327" s="3">
        <v>526</v>
      </c>
      <c r="C1327" s="3" t="str">
        <f>VLOOKUP(B1327, '[1]DAR area codes'!A:B,2,FALSE)</f>
        <v>kauai</v>
      </c>
      <c r="E1327" s="6"/>
      <c r="F1327" s="3">
        <v>0</v>
      </c>
      <c r="G1327" s="3">
        <v>0</v>
      </c>
    </row>
    <row r="1328" spans="1:7" x14ac:dyDescent="0.2">
      <c r="A1328" s="3">
        <v>2006</v>
      </c>
      <c r="B1328" s="3">
        <v>527</v>
      </c>
      <c r="C1328" s="3" t="str">
        <f>VLOOKUP(B1328, '[1]DAR area codes'!A:B,2,FALSE)</f>
        <v>kauai</v>
      </c>
      <c r="E1328" s="6"/>
      <c r="F1328" s="3">
        <v>0</v>
      </c>
      <c r="G1328" s="3">
        <v>957</v>
      </c>
    </row>
    <row r="1329" spans="1:7" x14ac:dyDescent="0.2">
      <c r="A1329" s="3">
        <v>2006</v>
      </c>
      <c r="B1329" s="3">
        <v>528</v>
      </c>
      <c r="C1329" s="3" t="str">
        <f>VLOOKUP(B1329, '[1]DAR area codes'!A:B,2,FALSE)</f>
        <v>kauai</v>
      </c>
      <c r="E1329" s="6"/>
      <c r="F1329" s="3">
        <v>0</v>
      </c>
      <c r="G1329" s="3">
        <v>1847.5</v>
      </c>
    </row>
    <row r="1330" spans="1:7" x14ac:dyDescent="0.2">
      <c r="A1330" s="3">
        <v>2005</v>
      </c>
      <c r="B1330" s="3">
        <v>100</v>
      </c>
      <c r="C1330" s="3" t="str">
        <f>VLOOKUP(B1330, '[1]DAR area codes'!A:B,2,FALSE)</f>
        <v>hawaii</v>
      </c>
      <c r="D1330" s="4">
        <v>294</v>
      </c>
      <c r="E1330" s="6"/>
      <c r="F1330" s="3">
        <v>0</v>
      </c>
      <c r="G1330" s="3">
        <v>25465.7</v>
      </c>
    </row>
    <row r="1331" spans="1:7" x14ac:dyDescent="0.2">
      <c r="A1331" s="3">
        <v>2005</v>
      </c>
      <c r="B1331" s="3">
        <v>101</v>
      </c>
      <c r="C1331" s="3" t="str">
        <f>VLOOKUP(B1331, '[1]DAR area codes'!A:B,2,FALSE)</f>
        <v>hawaii</v>
      </c>
      <c r="D1331" s="4">
        <v>2328.1999999999998</v>
      </c>
      <c r="E1331" s="6">
        <v>1785.5</v>
      </c>
      <c r="F1331" s="3">
        <v>116314.6</v>
      </c>
      <c r="G1331" s="3">
        <v>253748.9</v>
      </c>
    </row>
    <row r="1332" spans="1:7" x14ac:dyDescent="0.2">
      <c r="A1332" s="3">
        <v>2005</v>
      </c>
      <c r="B1332" s="3">
        <v>102</v>
      </c>
      <c r="C1332" s="3" t="str">
        <f>VLOOKUP(B1332, '[1]DAR area codes'!A:B,2,FALSE)</f>
        <v>hawaii</v>
      </c>
      <c r="D1332" s="4">
        <v>3012.5</v>
      </c>
      <c r="E1332" s="6">
        <v>1586.6</v>
      </c>
      <c r="F1332" s="3">
        <v>622.4</v>
      </c>
      <c r="G1332" s="3">
        <v>42293</v>
      </c>
    </row>
    <row r="1333" spans="1:7" x14ac:dyDescent="0.2">
      <c r="A1333" s="3">
        <v>2005</v>
      </c>
      <c r="B1333" s="3">
        <v>103</v>
      </c>
      <c r="C1333" s="3" t="str">
        <f>VLOOKUP(B1333, '[1]DAR area codes'!A:B,2,FALSE)</f>
        <v>hawaii</v>
      </c>
      <c r="D1333" s="4">
        <v>1631</v>
      </c>
      <c r="E1333" s="6">
        <v>641</v>
      </c>
      <c r="F1333" s="3">
        <v>0</v>
      </c>
      <c r="G1333" s="3">
        <v>5481</v>
      </c>
    </row>
    <row r="1334" spans="1:7" x14ac:dyDescent="0.2">
      <c r="A1334" s="3">
        <v>2005</v>
      </c>
      <c r="B1334" s="3">
        <v>104</v>
      </c>
      <c r="C1334" s="3" t="str">
        <f>VLOOKUP(B1334, '[1]DAR area codes'!A:B,2,FALSE)</f>
        <v>hawaii</v>
      </c>
      <c r="D1334" s="4">
        <v>201</v>
      </c>
      <c r="E1334" s="6"/>
      <c r="F1334" s="3">
        <v>1925.7</v>
      </c>
      <c r="G1334" s="3">
        <v>946</v>
      </c>
    </row>
    <row r="1335" spans="1:7" x14ac:dyDescent="0.2">
      <c r="A1335" s="3">
        <v>2005</v>
      </c>
      <c r="B1335" s="3">
        <v>105</v>
      </c>
      <c r="C1335" s="3" t="str">
        <f>VLOOKUP(B1335, '[1]DAR area codes'!A:B,2,FALSE)</f>
        <v>hawaii</v>
      </c>
      <c r="D1335" s="4">
        <v>2672.7</v>
      </c>
      <c r="E1335" s="6">
        <v>441.2</v>
      </c>
      <c r="F1335" s="3">
        <v>12767.6</v>
      </c>
      <c r="G1335" s="3">
        <v>15636</v>
      </c>
    </row>
    <row r="1336" spans="1:7" x14ac:dyDescent="0.2">
      <c r="A1336" s="3">
        <v>2005</v>
      </c>
      <c r="B1336" s="3">
        <v>106</v>
      </c>
      <c r="C1336" s="3" t="str">
        <f>VLOOKUP(B1336, '[1]DAR area codes'!A:B,2,FALSE)</f>
        <v>hawaii</v>
      </c>
      <c r="D1336" s="4">
        <v>2145.4</v>
      </c>
      <c r="E1336" s="6">
        <v>2384.6999999999998</v>
      </c>
      <c r="F1336" s="3">
        <v>9158.2999999999975</v>
      </c>
      <c r="G1336" s="3">
        <v>93449.5</v>
      </c>
    </row>
    <row r="1337" spans="1:7" x14ac:dyDescent="0.2">
      <c r="A1337" s="3">
        <v>2005</v>
      </c>
      <c r="B1337" s="3">
        <v>107</v>
      </c>
      <c r="C1337" s="3" t="str">
        <f>VLOOKUP(B1337, '[1]DAR area codes'!A:B,2,FALSE)</f>
        <v>hawaii</v>
      </c>
      <c r="D1337" s="4">
        <v>1475.8</v>
      </c>
      <c r="E1337" s="6">
        <v>87</v>
      </c>
      <c r="F1337" s="3">
        <v>3002.6000000000004</v>
      </c>
      <c r="G1337" s="3">
        <v>70173</v>
      </c>
    </row>
    <row r="1338" spans="1:7" x14ac:dyDescent="0.2">
      <c r="A1338" s="3">
        <v>2005</v>
      </c>
      <c r="B1338" s="3">
        <v>108</v>
      </c>
      <c r="C1338" s="3" t="str">
        <f>VLOOKUP(B1338, '[1]DAR area codes'!A:B,2,FALSE)</f>
        <v>hawaii</v>
      </c>
      <c r="D1338" s="4">
        <v>1904</v>
      </c>
      <c r="E1338" s="6">
        <v>652.4</v>
      </c>
      <c r="F1338" s="3">
        <v>3350.8</v>
      </c>
      <c r="G1338" s="3">
        <v>31914.399999999998</v>
      </c>
    </row>
    <row r="1339" spans="1:7" x14ac:dyDescent="0.2">
      <c r="A1339" s="3">
        <v>2005</v>
      </c>
      <c r="B1339" s="3">
        <v>120</v>
      </c>
      <c r="C1339" s="3" t="str">
        <f>VLOOKUP(B1339, '[1]DAR area codes'!A:B,2,FALSE)</f>
        <v>hawaii</v>
      </c>
      <c r="D1339" s="4">
        <v>704.2</v>
      </c>
      <c r="E1339" s="6">
        <v>137.4</v>
      </c>
      <c r="F1339" s="3">
        <v>2806</v>
      </c>
      <c r="G1339" s="3">
        <v>61996.800000000003</v>
      </c>
    </row>
    <row r="1340" spans="1:7" x14ac:dyDescent="0.2">
      <c r="A1340" s="3">
        <v>2005</v>
      </c>
      <c r="B1340" s="3">
        <v>121</v>
      </c>
      <c r="C1340" s="3" t="str">
        <f>VLOOKUP(B1340, '[1]DAR area codes'!A:B,2,FALSE)</f>
        <v>hawaii</v>
      </c>
      <c r="D1340" s="4">
        <v>3960.7</v>
      </c>
      <c r="E1340" s="6">
        <v>1572.4</v>
      </c>
      <c r="F1340" s="3">
        <v>16673.099999999999</v>
      </c>
      <c r="G1340" s="3">
        <v>894492</v>
      </c>
    </row>
    <row r="1341" spans="1:7" x14ac:dyDescent="0.2">
      <c r="A1341" s="3">
        <v>2005</v>
      </c>
      <c r="B1341" s="3">
        <v>122</v>
      </c>
      <c r="C1341" s="3" t="str">
        <f>VLOOKUP(B1341, '[1]DAR area codes'!A:B,2,FALSE)</f>
        <v>hawaii</v>
      </c>
      <c r="D1341" s="4">
        <v>7419.8</v>
      </c>
      <c r="E1341" s="6">
        <v>1794.5</v>
      </c>
      <c r="F1341" s="3">
        <v>510.9</v>
      </c>
      <c r="G1341" s="3">
        <v>111863.1</v>
      </c>
    </row>
    <row r="1342" spans="1:7" x14ac:dyDescent="0.2">
      <c r="A1342" s="3">
        <v>2005</v>
      </c>
      <c r="B1342" s="3">
        <v>123</v>
      </c>
      <c r="C1342" s="3" t="str">
        <f>VLOOKUP(B1342, '[1]DAR area codes'!A:B,2,FALSE)</f>
        <v>hawaii</v>
      </c>
      <c r="D1342" s="4">
        <v>401</v>
      </c>
      <c r="E1342" s="6"/>
      <c r="F1342" s="3">
        <v>0</v>
      </c>
      <c r="G1342" s="3">
        <v>2239</v>
      </c>
    </row>
    <row r="1343" spans="1:7" x14ac:dyDescent="0.2">
      <c r="A1343" s="3">
        <v>2005</v>
      </c>
      <c r="B1343" s="3">
        <v>124</v>
      </c>
      <c r="C1343" s="3" t="str">
        <f>VLOOKUP(B1343, '[1]DAR area codes'!A:B,2,FALSE)</f>
        <v>hawaii</v>
      </c>
      <c r="E1343" s="6"/>
      <c r="F1343" s="3">
        <v>0</v>
      </c>
      <c r="G1343" s="3">
        <v>29204.5</v>
      </c>
    </row>
    <row r="1344" spans="1:7" x14ac:dyDescent="0.2">
      <c r="A1344" s="3">
        <v>2005</v>
      </c>
      <c r="B1344" s="3">
        <v>125</v>
      </c>
      <c r="C1344" s="3" t="str">
        <f>VLOOKUP(B1344, '[1]DAR area codes'!A:B,2,FALSE)</f>
        <v>hawaii</v>
      </c>
      <c r="D1344" s="4">
        <v>2572.4</v>
      </c>
      <c r="E1344" s="6">
        <v>1036.3</v>
      </c>
      <c r="F1344" s="3">
        <v>2568.5</v>
      </c>
      <c r="G1344" s="3">
        <v>244161.4</v>
      </c>
    </row>
    <row r="1345" spans="1:7" x14ac:dyDescent="0.2">
      <c r="A1345" s="3">
        <v>2005</v>
      </c>
      <c r="B1345" s="3">
        <v>126</v>
      </c>
      <c r="C1345" s="3" t="str">
        <f>VLOOKUP(B1345, '[1]DAR area codes'!A:B,2,FALSE)</f>
        <v>hawaii</v>
      </c>
      <c r="D1345" s="4">
        <v>765.6</v>
      </c>
      <c r="E1345" s="6">
        <v>334.1</v>
      </c>
      <c r="F1345" s="3">
        <v>42.7</v>
      </c>
      <c r="G1345" s="3">
        <v>262687</v>
      </c>
    </row>
    <row r="1346" spans="1:7" x14ac:dyDescent="0.2">
      <c r="A1346" s="3">
        <v>2005</v>
      </c>
      <c r="B1346" s="3">
        <v>127</v>
      </c>
      <c r="C1346" s="3" t="str">
        <f>VLOOKUP(B1346, '[1]DAR area codes'!A:B,2,FALSE)</f>
        <v>hawaii</v>
      </c>
      <c r="D1346" s="4">
        <v>576.1</v>
      </c>
      <c r="E1346" s="6"/>
      <c r="F1346" s="3">
        <v>0</v>
      </c>
      <c r="G1346" s="3">
        <v>40492.5</v>
      </c>
    </row>
    <row r="1347" spans="1:7" x14ac:dyDescent="0.2">
      <c r="A1347" s="3">
        <v>2005</v>
      </c>
      <c r="B1347" s="3">
        <v>128</v>
      </c>
      <c r="C1347" s="3" t="str">
        <f>VLOOKUP(B1347, '[1]DAR area codes'!A:B,2,FALSE)</f>
        <v>hawaii</v>
      </c>
      <c r="D1347" s="4">
        <v>715.5</v>
      </c>
      <c r="E1347" s="6"/>
      <c r="F1347" s="3">
        <v>0</v>
      </c>
      <c r="G1347" s="3">
        <v>3151.5</v>
      </c>
    </row>
    <row r="1348" spans="1:7" x14ac:dyDescent="0.2">
      <c r="A1348" s="3">
        <v>2005</v>
      </c>
      <c r="B1348" s="3">
        <v>300</v>
      </c>
      <c r="C1348" s="3" t="str">
        <f>VLOOKUP(B1348, '[1]DAR area codes'!A:B,2,FALSE)</f>
        <v>maui</v>
      </c>
      <c r="E1348" s="6">
        <v>3113.6</v>
      </c>
      <c r="F1348" s="3">
        <v>104822.09999999999</v>
      </c>
      <c r="G1348" s="3">
        <v>1378.3</v>
      </c>
    </row>
    <row r="1349" spans="1:7" x14ac:dyDescent="0.2">
      <c r="A1349" s="3">
        <v>2005</v>
      </c>
      <c r="B1349" s="3">
        <v>301</v>
      </c>
      <c r="C1349" s="3" t="str">
        <f>VLOOKUP(B1349, '[1]DAR area codes'!A:B,2,FALSE)</f>
        <v>maui</v>
      </c>
      <c r="E1349" s="6">
        <v>295.60000000000002</v>
      </c>
      <c r="F1349" s="3">
        <v>459</v>
      </c>
      <c r="G1349" s="3">
        <v>0</v>
      </c>
    </row>
    <row r="1350" spans="1:7" x14ac:dyDescent="0.2">
      <c r="A1350" s="3">
        <v>2005</v>
      </c>
      <c r="B1350" s="3">
        <v>302</v>
      </c>
      <c r="C1350" s="3" t="str">
        <f>VLOOKUP(B1350, '[1]DAR area codes'!A:B,2,FALSE)</f>
        <v>maui</v>
      </c>
      <c r="E1350" s="6">
        <v>169.4</v>
      </c>
      <c r="F1350" s="3">
        <v>10162</v>
      </c>
      <c r="G1350" s="3">
        <v>1626</v>
      </c>
    </row>
    <row r="1351" spans="1:7" x14ac:dyDescent="0.2">
      <c r="A1351" s="3">
        <v>2005</v>
      </c>
      <c r="B1351" s="3">
        <v>303</v>
      </c>
      <c r="C1351" s="3" t="str">
        <f>VLOOKUP(B1351, '[1]DAR area codes'!A:B,2,FALSE)</f>
        <v>maui</v>
      </c>
      <c r="D1351" s="4">
        <v>5159.2</v>
      </c>
      <c r="E1351" s="6">
        <v>433.1</v>
      </c>
      <c r="F1351" s="3">
        <v>2717</v>
      </c>
      <c r="G1351" s="3">
        <v>4639.5</v>
      </c>
    </row>
    <row r="1352" spans="1:7" x14ac:dyDescent="0.2">
      <c r="A1352" s="3">
        <v>2005</v>
      </c>
      <c r="B1352" s="3">
        <v>304</v>
      </c>
      <c r="C1352" s="3" t="str">
        <f>VLOOKUP(B1352, '[1]DAR area codes'!A:B,2,FALSE)</f>
        <v>maui</v>
      </c>
      <c r="D1352" s="4">
        <v>3415.5</v>
      </c>
      <c r="E1352" s="6">
        <v>3414</v>
      </c>
      <c r="F1352" s="3">
        <v>498.3</v>
      </c>
      <c r="G1352" s="3">
        <v>2859.1</v>
      </c>
    </row>
    <row r="1353" spans="1:7" x14ac:dyDescent="0.2">
      <c r="A1353" s="3">
        <v>2005</v>
      </c>
      <c r="B1353" s="3">
        <v>305</v>
      </c>
      <c r="C1353" s="3" t="str">
        <f>VLOOKUP(B1353, '[1]DAR area codes'!A:B,2,FALSE)</f>
        <v>maui</v>
      </c>
      <c r="D1353" s="4">
        <v>12928.5</v>
      </c>
      <c r="E1353" s="6">
        <v>1724.6</v>
      </c>
      <c r="F1353" s="3">
        <v>1715.7000000000003</v>
      </c>
      <c r="G1353" s="3">
        <v>9473.4</v>
      </c>
    </row>
    <row r="1354" spans="1:7" x14ac:dyDescent="0.2">
      <c r="A1354" s="3">
        <v>2005</v>
      </c>
      <c r="B1354" s="3">
        <v>306</v>
      </c>
      <c r="C1354" s="3" t="str">
        <f>VLOOKUP(B1354, '[1]DAR area codes'!A:B,2,FALSE)</f>
        <v>maui</v>
      </c>
      <c r="D1354" s="4">
        <v>206</v>
      </c>
      <c r="E1354" s="6"/>
      <c r="F1354" s="3">
        <v>33</v>
      </c>
      <c r="G1354" s="3">
        <v>11121.3</v>
      </c>
    </row>
    <row r="1355" spans="1:7" x14ac:dyDescent="0.2">
      <c r="A1355" s="3">
        <v>2005</v>
      </c>
      <c r="B1355" s="3">
        <v>307</v>
      </c>
      <c r="C1355" s="3" t="str">
        <f>VLOOKUP(B1355, '[1]DAR area codes'!A:B,2,FALSE)</f>
        <v>maui</v>
      </c>
      <c r="E1355" s="6"/>
      <c r="F1355" s="3">
        <v>0</v>
      </c>
      <c r="G1355" s="3">
        <v>1274</v>
      </c>
    </row>
    <row r="1356" spans="1:7" x14ac:dyDescent="0.2">
      <c r="A1356" s="3">
        <v>2005</v>
      </c>
      <c r="B1356" s="3">
        <v>308</v>
      </c>
      <c r="C1356" s="3" t="str">
        <f>VLOOKUP(B1356, '[1]DAR area codes'!A:B,2,FALSE)</f>
        <v>maui</v>
      </c>
      <c r="D1356" s="4">
        <v>3191</v>
      </c>
      <c r="E1356" s="6">
        <v>1817</v>
      </c>
      <c r="F1356" s="3">
        <v>1513</v>
      </c>
      <c r="G1356" s="3">
        <v>16555</v>
      </c>
    </row>
    <row r="1357" spans="1:7" x14ac:dyDescent="0.2">
      <c r="A1357" s="3">
        <v>2005</v>
      </c>
      <c r="B1357" s="3">
        <v>309</v>
      </c>
      <c r="C1357" s="3" t="str">
        <f>VLOOKUP(B1357, '[1]DAR area codes'!A:B,2,FALSE)</f>
        <v>maui</v>
      </c>
      <c r="E1357" s="6">
        <v>441.5</v>
      </c>
      <c r="F1357" s="3">
        <v>242</v>
      </c>
      <c r="G1357" s="3">
        <v>1655</v>
      </c>
    </row>
    <row r="1358" spans="1:7" x14ac:dyDescent="0.2">
      <c r="A1358" s="3">
        <v>2005</v>
      </c>
      <c r="B1358" s="3">
        <v>310</v>
      </c>
      <c r="C1358" s="3" t="str">
        <f>VLOOKUP(B1358, '[1]DAR area codes'!A:B,2,FALSE)</f>
        <v>maui</v>
      </c>
      <c r="D1358" s="4">
        <v>834</v>
      </c>
      <c r="E1358" s="6">
        <v>325</v>
      </c>
      <c r="F1358" s="3">
        <v>964</v>
      </c>
      <c r="G1358" s="3">
        <v>2105.5</v>
      </c>
    </row>
    <row r="1359" spans="1:7" x14ac:dyDescent="0.2">
      <c r="A1359" s="3">
        <v>2005</v>
      </c>
      <c r="B1359" s="3">
        <v>311</v>
      </c>
      <c r="C1359" s="3" t="str">
        <f>VLOOKUP(B1359, '[1]DAR area codes'!A:B,2,FALSE)</f>
        <v>maui</v>
      </c>
      <c r="E1359" s="6">
        <v>325.5</v>
      </c>
      <c r="F1359" s="3">
        <v>113.2</v>
      </c>
      <c r="G1359" s="3">
        <v>1589.3000000000002</v>
      </c>
    </row>
    <row r="1360" spans="1:7" x14ac:dyDescent="0.2">
      <c r="A1360" s="3">
        <v>2005</v>
      </c>
      <c r="B1360" s="3">
        <v>312</v>
      </c>
      <c r="C1360" s="3" t="str">
        <f>VLOOKUP(B1360, '[1]DAR area codes'!A:B,2,FALSE)</f>
        <v>maui</v>
      </c>
      <c r="E1360" s="6"/>
      <c r="F1360" s="3">
        <v>138</v>
      </c>
      <c r="G1360" s="3">
        <v>378</v>
      </c>
    </row>
    <row r="1361" spans="1:7" x14ac:dyDescent="0.2">
      <c r="A1361" s="3">
        <v>2005</v>
      </c>
      <c r="B1361" s="3">
        <v>313</v>
      </c>
      <c r="C1361" s="3" t="str">
        <f>VLOOKUP(B1361, '[1]DAR area codes'!A:B,2,FALSE)</f>
        <v>maui</v>
      </c>
      <c r="D1361" s="4">
        <v>6502.9</v>
      </c>
      <c r="E1361" s="6">
        <v>122</v>
      </c>
      <c r="F1361" s="3">
        <v>0</v>
      </c>
      <c r="G1361" s="3">
        <v>2120.5</v>
      </c>
    </row>
    <row r="1362" spans="1:7" x14ac:dyDescent="0.2">
      <c r="A1362" s="3">
        <v>2005</v>
      </c>
      <c r="B1362" s="3">
        <v>314</v>
      </c>
      <c r="C1362" s="3" t="str">
        <f>VLOOKUP(B1362, '[1]DAR area codes'!A:B,2,FALSE)</f>
        <v>maui</v>
      </c>
      <c r="D1362" s="4">
        <v>1836.5</v>
      </c>
      <c r="E1362" s="6">
        <v>295</v>
      </c>
      <c r="F1362" s="3">
        <v>0</v>
      </c>
      <c r="G1362" s="3">
        <v>1454</v>
      </c>
    </row>
    <row r="1363" spans="1:7" x14ac:dyDescent="0.2">
      <c r="A1363" s="3">
        <v>2005</v>
      </c>
      <c r="B1363" s="3">
        <v>320</v>
      </c>
      <c r="C1363" s="3" t="str">
        <f>VLOOKUP(B1363, '[1]DAR area codes'!A:B,2,FALSE)</f>
        <v>maui</v>
      </c>
      <c r="D1363" s="4">
        <v>23269.3</v>
      </c>
      <c r="E1363" s="6">
        <v>3537.3</v>
      </c>
      <c r="F1363" s="3">
        <v>8621.8000000000011</v>
      </c>
      <c r="G1363" s="3">
        <v>16472</v>
      </c>
    </row>
    <row r="1364" spans="1:7" x14ac:dyDescent="0.2">
      <c r="A1364" s="3">
        <v>2005</v>
      </c>
      <c r="B1364" s="3">
        <v>321</v>
      </c>
      <c r="C1364" s="3" t="str">
        <f>VLOOKUP(B1364, '[1]DAR area codes'!A:B,2,FALSE)</f>
        <v>maui</v>
      </c>
      <c r="D1364" s="4">
        <v>8647.1</v>
      </c>
      <c r="E1364" s="6">
        <v>1433.4</v>
      </c>
      <c r="F1364" s="3">
        <v>547.20000000000005</v>
      </c>
      <c r="G1364" s="3">
        <v>2782.5</v>
      </c>
    </row>
    <row r="1365" spans="1:7" x14ac:dyDescent="0.2">
      <c r="A1365" s="3">
        <v>2005</v>
      </c>
      <c r="B1365" s="3">
        <v>322</v>
      </c>
      <c r="C1365" s="3" t="str">
        <f>VLOOKUP(B1365, '[1]DAR area codes'!A:B,2,FALSE)</f>
        <v>maui</v>
      </c>
      <c r="D1365" s="4">
        <v>532.20000000000005</v>
      </c>
      <c r="E1365" s="6"/>
      <c r="F1365" s="3">
        <v>0</v>
      </c>
      <c r="G1365" s="3">
        <v>3846.8</v>
      </c>
    </row>
    <row r="1366" spans="1:7" x14ac:dyDescent="0.2">
      <c r="A1366" s="3">
        <v>2005</v>
      </c>
      <c r="B1366" s="3">
        <v>323</v>
      </c>
      <c r="C1366" s="3" t="str">
        <f>VLOOKUP(B1366, '[1]DAR area codes'!A:B,2,FALSE)</f>
        <v>maui</v>
      </c>
      <c r="D1366" s="4">
        <v>1263.5</v>
      </c>
      <c r="E1366" s="6"/>
      <c r="F1366" s="3">
        <v>0</v>
      </c>
      <c r="G1366" s="3">
        <v>117431.29999999999</v>
      </c>
    </row>
    <row r="1367" spans="1:7" x14ac:dyDescent="0.2">
      <c r="A1367" s="3">
        <v>2005</v>
      </c>
      <c r="B1367" s="3">
        <v>324</v>
      </c>
      <c r="C1367" s="3" t="str">
        <f>VLOOKUP(B1367, '[1]DAR area codes'!A:B,2,FALSE)</f>
        <v>maui</v>
      </c>
      <c r="D1367" s="4">
        <v>769.9</v>
      </c>
      <c r="E1367" s="6"/>
      <c r="F1367" s="3">
        <v>0</v>
      </c>
      <c r="G1367" s="3">
        <v>18073</v>
      </c>
    </row>
    <row r="1368" spans="1:7" x14ac:dyDescent="0.2">
      <c r="A1368" s="3">
        <v>2005</v>
      </c>
      <c r="B1368" s="3">
        <v>325</v>
      </c>
      <c r="C1368" s="3" t="str">
        <f>VLOOKUP(B1368, '[1]DAR area codes'!A:B,2,FALSE)</f>
        <v>maui</v>
      </c>
      <c r="D1368" s="4">
        <v>850.8</v>
      </c>
      <c r="E1368" s="6"/>
      <c r="F1368" s="3">
        <v>0</v>
      </c>
      <c r="G1368" s="3">
        <v>13649.8</v>
      </c>
    </row>
    <row r="1369" spans="1:7" x14ac:dyDescent="0.2">
      <c r="A1369" s="3">
        <v>2005</v>
      </c>
      <c r="B1369" s="3">
        <v>326</v>
      </c>
      <c r="C1369" s="3" t="str">
        <f>VLOOKUP(B1369, '[1]DAR area codes'!A:B,2,FALSE)</f>
        <v>maui</v>
      </c>
      <c r="E1369" s="6"/>
      <c r="F1369" s="3">
        <v>0</v>
      </c>
      <c r="G1369" s="3">
        <v>9155.9</v>
      </c>
    </row>
    <row r="1370" spans="1:7" x14ac:dyDescent="0.2">
      <c r="A1370" s="3">
        <v>2005</v>
      </c>
      <c r="B1370" s="3">
        <v>327</v>
      </c>
      <c r="C1370" s="3" t="str">
        <f>VLOOKUP(B1370, '[1]DAR area codes'!A:B,2,FALSE)</f>
        <v>maui</v>
      </c>
      <c r="D1370" s="4">
        <v>11660.6</v>
      </c>
      <c r="E1370" s="6">
        <v>978.8</v>
      </c>
      <c r="F1370" s="3">
        <v>0</v>
      </c>
      <c r="G1370" s="3">
        <v>35884</v>
      </c>
    </row>
    <row r="1371" spans="1:7" x14ac:dyDescent="0.2">
      <c r="A1371" s="3">
        <v>2005</v>
      </c>
      <c r="B1371" s="3">
        <v>328</v>
      </c>
      <c r="C1371" s="3" t="str">
        <f>VLOOKUP(B1371, '[1]DAR area codes'!A:B,2,FALSE)</f>
        <v>maui</v>
      </c>
      <c r="D1371" s="4">
        <v>1432.6</v>
      </c>
      <c r="E1371" s="6">
        <v>165.5</v>
      </c>
      <c r="F1371" s="3">
        <v>27</v>
      </c>
      <c r="G1371" s="3">
        <v>73553.3</v>
      </c>
    </row>
    <row r="1372" spans="1:7" x14ac:dyDescent="0.2">
      <c r="A1372" s="3">
        <v>2005</v>
      </c>
      <c r="B1372" s="3">
        <v>331</v>
      </c>
      <c r="C1372" s="3" t="str">
        <f>VLOOKUP(B1372, '[1]DAR area codes'!A:B,2,FALSE)</f>
        <v>maui</v>
      </c>
      <c r="D1372" s="4">
        <v>37175.300000000003</v>
      </c>
      <c r="E1372" s="6">
        <v>32512.5</v>
      </c>
      <c r="F1372" s="3">
        <v>335.1</v>
      </c>
      <c r="G1372" s="3">
        <v>28188.5</v>
      </c>
    </row>
    <row r="1373" spans="1:7" x14ac:dyDescent="0.2">
      <c r="A1373" s="3">
        <v>2005</v>
      </c>
      <c r="B1373" s="3">
        <v>332</v>
      </c>
      <c r="C1373" s="3" t="str">
        <f>VLOOKUP(B1373, '[1]DAR area codes'!A:B,2,FALSE)</f>
        <v>maui</v>
      </c>
      <c r="E1373" s="6"/>
      <c r="F1373" s="3">
        <v>0</v>
      </c>
      <c r="G1373" s="3">
        <v>10789</v>
      </c>
    </row>
    <row r="1374" spans="1:7" x14ac:dyDescent="0.2">
      <c r="A1374" s="3">
        <v>2005</v>
      </c>
      <c r="B1374" s="3">
        <v>333</v>
      </c>
      <c r="C1374" s="3" t="str">
        <f>VLOOKUP(B1374, '[1]DAR area codes'!A:B,2,FALSE)</f>
        <v>maui</v>
      </c>
      <c r="E1374" s="6"/>
      <c r="F1374" s="3">
        <v>0</v>
      </c>
      <c r="G1374" s="3">
        <v>8897</v>
      </c>
    </row>
    <row r="1375" spans="1:7" x14ac:dyDescent="0.2">
      <c r="A1375" s="3">
        <v>2005</v>
      </c>
      <c r="B1375" s="3">
        <v>400</v>
      </c>
      <c r="C1375" s="3" t="str">
        <f>VLOOKUP(B1375, '[1]DAR area codes'!A:B,2,FALSE)</f>
        <v>oahu</v>
      </c>
      <c r="E1375" s="6"/>
      <c r="F1375" s="3">
        <v>13550.8</v>
      </c>
      <c r="G1375" s="3">
        <v>771</v>
      </c>
    </row>
    <row r="1376" spans="1:7" x14ac:dyDescent="0.2">
      <c r="A1376" s="3">
        <v>2005</v>
      </c>
      <c r="B1376" s="3">
        <v>401</v>
      </c>
      <c r="C1376" s="3" t="str">
        <f>VLOOKUP(B1376, '[1]DAR area codes'!A:B,2,FALSE)</f>
        <v>oahu</v>
      </c>
      <c r="D1376" s="4">
        <v>118</v>
      </c>
      <c r="E1376" s="6">
        <v>1554</v>
      </c>
      <c r="F1376" s="3">
        <v>72334.500000000015</v>
      </c>
      <c r="G1376" s="3">
        <v>2372.1000000000004</v>
      </c>
    </row>
    <row r="1377" spans="1:7" x14ac:dyDescent="0.2">
      <c r="A1377" s="3">
        <v>2005</v>
      </c>
      <c r="B1377" s="3">
        <v>402</v>
      </c>
      <c r="C1377" s="3" t="str">
        <f>VLOOKUP(B1377, '[1]DAR area codes'!A:B,2,FALSE)</f>
        <v>oahu</v>
      </c>
      <c r="D1377" s="4">
        <v>21.3</v>
      </c>
      <c r="E1377" s="6">
        <v>824.2</v>
      </c>
      <c r="F1377" s="3">
        <v>51792.9</v>
      </c>
      <c r="G1377" s="3">
        <v>7546.2000000000007</v>
      </c>
    </row>
    <row r="1378" spans="1:7" x14ac:dyDescent="0.2">
      <c r="A1378" s="3">
        <v>2005</v>
      </c>
      <c r="B1378" s="3">
        <v>403</v>
      </c>
      <c r="C1378" s="3" t="str">
        <f>VLOOKUP(B1378, '[1]DAR area codes'!A:B,2,FALSE)</f>
        <v>oahu</v>
      </c>
      <c r="D1378" s="4">
        <v>1504.1</v>
      </c>
      <c r="E1378" s="6">
        <v>9396</v>
      </c>
      <c r="F1378" s="3">
        <v>96094.5</v>
      </c>
      <c r="G1378" s="3">
        <v>38114</v>
      </c>
    </row>
    <row r="1379" spans="1:7" x14ac:dyDescent="0.2">
      <c r="A1379" s="3">
        <v>2005</v>
      </c>
      <c r="B1379" s="3">
        <v>404</v>
      </c>
      <c r="C1379" s="3" t="str">
        <f>VLOOKUP(B1379, '[1]DAR area codes'!A:B,2,FALSE)</f>
        <v>oahu</v>
      </c>
      <c r="D1379" s="4">
        <v>1123.7</v>
      </c>
      <c r="E1379" s="6">
        <v>758.4</v>
      </c>
      <c r="F1379" s="3">
        <v>80862.300000000017</v>
      </c>
      <c r="G1379" s="3">
        <v>12511.4</v>
      </c>
    </row>
    <row r="1380" spans="1:7" x14ac:dyDescent="0.2">
      <c r="A1380" s="3">
        <v>2005</v>
      </c>
      <c r="B1380" s="3">
        <v>405</v>
      </c>
      <c r="C1380" s="3" t="str">
        <f>VLOOKUP(B1380, '[1]DAR area codes'!A:B,2,FALSE)</f>
        <v>oahu</v>
      </c>
      <c r="D1380" s="4">
        <v>1059.5</v>
      </c>
      <c r="E1380" s="6">
        <v>698.1</v>
      </c>
      <c r="F1380" s="3">
        <v>17399.2</v>
      </c>
      <c r="G1380" s="3">
        <v>8762.2000000000007</v>
      </c>
    </row>
    <row r="1381" spans="1:7" x14ac:dyDescent="0.2">
      <c r="A1381" s="3">
        <v>2005</v>
      </c>
      <c r="B1381" s="3">
        <v>406</v>
      </c>
      <c r="C1381" s="3" t="str">
        <f>VLOOKUP(B1381, '[1]DAR area codes'!A:B,2,FALSE)</f>
        <v>oahu</v>
      </c>
      <c r="E1381" s="6"/>
      <c r="F1381" s="3">
        <v>12591.9</v>
      </c>
      <c r="G1381" s="3">
        <v>763</v>
      </c>
    </row>
    <row r="1382" spans="1:7" x14ac:dyDescent="0.2">
      <c r="A1382" s="3">
        <v>2005</v>
      </c>
      <c r="B1382" s="3">
        <v>407</v>
      </c>
      <c r="C1382" s="3" t="str">
        <f>VLOOKUP(B1382, '[1]DAR area codes'!A:B,2,FALSE)</f>
        <v>oahu</v>
      </c>
      <c r="D1382" s="4">
        <v>187</v>
      </c>
      <c r="E1382" s="6">
        <v>2445.1</v>
      </c>
      <c r="F1382" s="3">
        <v>41477.1</v>
      </c>
      <c r="G1382" s="3">
        <v>2141</v>
      </c>
    </row>
    <row r="1383" spans="1:7" x14ac:dyDescent="0.2">
      <c r="A1383" s="3">
        <v>2005</v>
      </c>
      <c r="B1383" s="3">
        <v>408</v>
      </c>
      <c r="C1383" s="3" t="str">
        <f>VLOOKUP(B1383, '[1]DAR area codes'!A:B,2,FALSE)</f>
        <v>oahu</v>
      </c>
      <c r="D1383" s="4">
        <v>2278.5</v>
      </c>
      <c r="E1383" s="6">
        <v>427.9</v>
      </c>
      <c r="F1383" s="3">
        <v>9128.5999999999985</v>
      </c>
      <c r="G1383" s="3">
        <v>1665</v>
      </c>
    </row>
    <row r="1384" spans="1:7" x14ac:dyDescent="0.2">
      <c r="A1384" s="3">
        <v>2005</v>
      </c>
      <c r="B1384" s="3">
        <v>409</v>
      </c>
      <c r="C1384" s="3" t="str">
        <f>VLOOKUP(B1384, '[1]DAR area codes'!A:B,2,FALSE)</f>
        <v>oahu</v>
      </c>
      <c r="D1384" s="4">
        <v>978.5</v>
      </c>
      <c r="E1384" s="6">
        <v>801</v>
      </c>
      <c r="F1384" s="3">
        <v>41997.299999999996</v>
      </c>
      <c r="G1384" s="3">
        <v>1664.5</v>
      </c>
    </row>
    <row r="1385" spans="1:7" x14ac:dyDescent="0.2">
      <c r="A1385" s="3">
        <v>2005</v>
      </c>
      <c r="B1385" s="3">
        <v>420</v>
      </c>
      <c r="C1385" s="3" t="str">
        <f>VLOOKUP(B1385, '[1]DAR area codes'!A:B,2,FALSE)</f>
        <v>oahu</v>
      </c>
      <c r="D1385" s="4">
        <v>259</v>
      </c>
      <c r="E1385" s="6"/>
      <c r="F1385" s="3">
        <v>0</v>
      </c>
      <c r="G1385" s="3">
        <v>25085.5</v>
      </c>
    </row>
    <row r="1386" spans="1:7" x14ac:dyDescent="0.2">
      <c r="A1386" s="3">
        <v>2005</v>
      </c>
      <c r="B1386" s="3">
        <v>421</v>
      </c>
      <c r="C1386" s="3" t="str">
        <f>VLOOKUP(B1386, '[1]DAR area codes'!A:B,2,FALSE)</f>
        <v>oahu</v>
      </c>
      <c r="E1386" s="6"/>
      <c r="F1386" s="3">
        <v>0</v>
      </c>
      <c r="G1386" s="3">
        <v>245434.7</v>
      </c>
    </row>
    <row r="1387" spans="1:7" x14ac:dyDescent="0.2">
      <c r="A1387" s="3">
        <v>2005</v>
      </c>
      <c r="B1387" s="3">
        <v>422</v>
      </c>
      <c r="C1387" s="3" t="str">
        <f>VLOOKUP(B1387, '[1]DAR area codes'!A:B,2,FALSE)</f>
        <v>oahu</v>
      </c>
      <c r="E1387" s="6"/>
      <c r="F1387" s="3">
        <v>1715.6</v>
      </c>
      <c r="G1387" s="3">
        <v>65013.8</v>
      </c>
    </row>
    <row r="1388" spans="1:7" x14ac:dyDescent="0.2">
      <c r="A1388" s="3">
        <v>2005</v>
      </c>
      <c r="B1388" s="3">
        <v>423</v>
      </c>
      <c r="C1388" s="3" t="str">
        <f>VLOOKUP(B1388, '[1]DAR area codes'!A:B,2,FALSE)</f>
        <v>oahu</v>
      </c>
      <c r="D1388" s="4">
        <v>1407.3</v>
      </c>
      <c r="E1388" s="6">
        <v>473</v>
      </c>
      <c r="F1388" s="3">
        <v>14556.5</v>
      </c>
      <c r="G1388" s="3">
        <v>300597.5</v>
      </c>
    </row>
    <row r="1389" spans="1:7" x14ac:dyDescent="0.2">
      <c r="A1389" s="3">
        <v>2005</v>
      </c>
      <c r="B1389" s="3">
        <v>424</v>
      </c>
      <c r="C1389" s="3" t="str">
        <f>VLOOKUP(B1389, '[1]DAR area codes'!A:B,2,FALSE)</f>
        <v>oahu</v>
      </c>
      <c r="D1389" s="4">
        <v>2216.6999999999998</v>
      </c>
      <c r="E1389" s="6">
        <v>289.7</v>
      </c>
      <c r="F1389" s="3">
        <v>0</v>
      </c>
      <c r="G1389" s="3">
        <v>55034.400000000001</v>
      </c>
    </row>
    <row r="1390" spans="1:7" x14ac:dyDescent="0.2">
      <c r="A1390" s="3">
        <v>2005</v>
      </c>
      <c r="B1390" s="3">
        <v>425</v>
      </c>
      <c r="C1390" s="3" t="str">
        <f>VLOOKUP(B1390, '[1]DAR area codes'!A:B,2,FALSE)</f>
        <v>oahu</v>
      </c>
      <c r="D1390" s="4">
        <v>525.20000000000005</v>
      </c>
      <c r="E1390" s="6">
        <v>81.7</v>
      </c>
      <c r="F1390" s="3">
        <v>0</v>
      </c>
      <c r="G1390" s="3">
        <v>205615.09999999998</v>
      </c>
    </row>
    <row r="1391" spans="1:7" x14ac:dyDescent="0.2">
      <c r="A1391" s="3">
        <v>2005</v>
      </c>
      <c r="B1391" s="3">
        <v>426</v>
      </c>
      <c r="C1391" s="3" t="str">
        <f>VLOOKUP(B1391, '[1]DAR area codes'!A:B,2,FALSE)</f>
        <v>oahu</v>
      </c>
      <c r="E1391" s="6"/>
      <c r="F1391" s="3">
        <v>0</v>
      </c>
      <c r="G1391" s="3">
        <v>306766.5</v>
      </c>
    </row>
    <row r="1392" spans="1:7" x14ac:dyDescent="0.2">
      <c r="A1392" s="3">
        <v>2005</v>
      </c>
      <c r="B1392" s="3">
        <v>427</v>
      </c>
      <c r="C1392" s="3" t="str">
        <f>VLOOKUP(B1392, '[1]DAR area codes'!A:B,2,FALSE)</f>
        <v>oahu</v>
      </c>
      <c r="E1392" s="6"/>
      <c r="F1392" s="3">
        <v>0</v>
      </c>
      <c r="G1392" s="3">
        <v>275641.90000000002</v>
      </c>
    </row>
    <row r="1393" spans="1:7" x14ac:dyDescent="0.2">
      <c r="A1393" s="3">
        <v>2005</v>
      </c>
      <c r="B1393" s="3">
        <v>428</v>
      </c>
      <c r="C1393" s="3" t="str">
        <f>VLOOKUP(B1393, '[1]DAR area codes'!A:B,2,FALSE)</f>
        <v>oahu</v>
      </c>
      <c r="D1393" s="4">
        <v>783.5</v>
      </c>
      <c r="E1393" s="6">
        <v>236</v>
      </c>
      <c r="F1393" s="3">
        <v>29.5</v>
      </c>
      <c r="G1393" s="3">
        <v>43020</v>
      </c>
    </row>
    <row r="1394" spans="1:7" x14ac:dyDescent="0.2">
      <c r="A1394" s="3">
        <v>2005</v>
      </c>
      <c r="B1394" s="3">
        <v>429</v>
      </c>
      <c r="C1394" s="3" t="str">
        <f>VLOOKUP(B1394, '[1]DAR area codes'!A:B,2,FALSE)</f>
        <v>oahu</v>
      </c>
      <c r="D1394" s="4">
        <v>2950.9</v>
      </c>
      <c r="E1394" s="6">
        <v>365.6</v>
      </c>
      <c r="F1394" s="3">
        <v>66.3</v>
      </c>
      <c r="G1394" s="3">
        <v>15320.1</v>
      </c>
    </row>
    <row r="1395" spans="1:7" x14ac:dyDescent="0.2">
      <c r="A1395" s="3">
        <v>2005</v>
      </c>
      <c r="B1395" s="3">
        <v>500</v>
      </c>
      <c r="C1395" s="3" t="str">
        <f>VLOOKUP(B1395, '[1]DAR area codes'!A:B,2,FALSE)</f>
        <v>kauai</v>
      </c>
      <c r="D1395" s="4">
        <v>859</v>
      </c>
      <c r="E1395" s="6">
        <v>1261.7</v>
      </c>
      <c r="F1395" s="3">
        <v>260177.30000000002</v>
      </c>
      <c r="G1395" s="3">
        <v>23449</v>
      </c>
    </row>
    <row r="1396" spans="1:7" x14ac:dyDescent="0.2">
      <c r="A1396" s="3">
        <v>2005</v>
      </c>
      <c r="B1396" s="3">
        <v>501</v>
      </c>
      <c r="C1396" s="3" t="str">
        <f>VLOOKUP(B1396, '[1]DAR area codes'!A:B,2,FALSE)</f>
        <v>kauai</v>
      </c>
      <c r="D1396" s="4">
        <v>419</v>
      </c>
      <c r="E1396" s="6">
        <v>3216.5</v>
      </c>
      <c r="F1396" s="3">
        <v>5145.8</v>
      </c>
      <c r="G1396" s="3">
        <v>12713</v>
      </c>
    </row>
    <row r="1397" spans="1:7" x14ac:dyDescent="0.2">
      <c r="A1397" s="3">
        <v>2005</v>
      </c>
      <c r="B1397" s="3">
        <v>502</v>
      </c>
      <c r="C1397" s="3" t="str">
        <f>VLOOKUP(B1397, '[1]DAR area codes'!A:B,2,FALSE)</f>
        <v>kauai</v>
      </c>
      <c r="D1397" s="4">
        <v>689</v>
      </c>
      <c r="E1397" s="6"/>
      <c r="F1397" s="3">
        <v>0</v>
      </c>
      <c r="G1397" s="3">
        <v>1143</v>
      </c>
    </row>
    <row r="1398" spans="1:7" x14ac:dyDescent="0.2">
      <c r="A1398" s="3">
        <v>2005</v>
      </c>
      <c r="B1398" s="3">
        <v>503</v>
      </c>
      <c r="C1398" s="3" t="str">
        <f>VLOOKUP(B1398, '[1]DAR area codes'!A:B,2,FALSE)</f>
        <v>kauai</v>
      </c>
      <c r="D1398" s="4">
        <v>128.5</v>
      </c>
      <c r="E1398" s="6">
        <v>619.29999999999995</v>
      </c>
      <c r="F1398" s="3">
        <v>47287.9</v>
      </c>
      <c r="G1398" s="3">
        <v>11387</v>
      </c>
    </row>
    <row r="1399" spans="1:7" x14ac:dyDescent="0.2">
      <c r="A1399" s="3">
        <v>2005</v>
      </c>
      <c r="B1399" s="3">
        <v>504</v>
      </c>
      <c r="C1399" s="3" t="str">
        <f>VLOOKUP(B1399, '[1]DAR area codes'!A:B,2,FALSE)</f>
        <v>kauai</v>
      </c>
      <c r="D1399" s="4">
        <v>807.5</v>
      </c>
      <c r="E1399" s="6">
        <v>1609.9</v>
      </c>
      <c r="F1399" s="3">
        <v>14809</v>
      </c>
      <c r="G1399" s="3">
        <v>10472.200000000001</v>
      </c>
    </row>
    <row r="1400" spans="1:7" x14ac:dyDescent="0.2">
      <c r="A1400" s="3">
        <v>2005</v>
      </c>
      <c r="B1400" s="3">
        <v>505</v>
      </c>
      <c r="C1400" s="3" t="str">
        <f>VLOOKUP(B1400, '[1]DAR area codes'!A:B,2,FALSE)</f>
        <v>kauai</v>
      </c>
      <c r="E1400" s="6">
        <v>2021</v>
      </c>
      <c r="F1400" s="3">
        <v>0</v>
      </c>
      <c r="G1400" s="3">
        <v>5618.5</v>
      </c>
    </row>
    <row r="1401" spans="1:7" x14ac:dyDescent="0.2">
      <c r="A1401" s="3">
        <v>2005</v>
      </c>
      <c r="B1401" s="3">
        <v>506</v>
      </c>
      <c r="C1401" s="3" t="str">
        <f>VLOOKUP(B1401, '[1]DAR area codes'!A:B,2,FALSE)</f>
        <v>kauai</v>
      </c>
      <c r="D1401" s="4">
        <v>20711.900000000001</v>
      </c>
      <c r="E1401" s="6">
        <v>3051.5</v>
      </c>
      <c r="F1401" s="3">
        <v>47812.200000000004</v>
      </c>
      <c r="G1401" s="3">
        <v>6132.8</v>
      </c>
    </row>
    <row r="1402" spans="1:7" x14ac:dyDescent="0.2">
      <c r="A1402" s="3">
        <v>2005</v>
      </c>
      <c r="B1402" s="3">
        <v>507</v>
      </c>
      <c r="C1402" s="3" t="str">
        <f>VLOOKUP(B1402, '[1]DAR area codes'!A:B,2,FALSE)</f>
        <v>kauai</v>
      </c>
      <c r="E1402" s="6"/>
      <c r="F1402" s="3">
        <v>0</v>
      </c>
      <c r="G1402" s="3">
        <v>0</v>
      </c>
    </row>
    <row r="1403" spans="1:7" x14ac:dyDescent="0.2">
      <c r="A1403" s="3">
        <v>2005</v>
      </c>
      <c r="B1403" s="3">
        <v>508</v>
      </c>
      <c r="C1403" s="3" t="str">
        <f>VLOOKUP(B1403, '[1]DAR area codes'!A:B,2,FALSE)</f>
        <v>kauai</v>
      </c>
      <c r="E1403" s="6"/>
      <c r="F1403" s="3">
        <v>0</v>
      </c>
      <c r="G1403" s="3">
        <v>25556.5</v>
      </c>
    </row>
    <row r="1404" spans="1:7" x14ac:dyDescent="0.2">
      <c r="A1404" s="3">
        <v>2005</v>
      </c>
      <c r="B1404" s="3">
        <v>520</v>
      </c>
      <c r="C1404" s="3" t="str">
        <f>VLOOKUP(B1404, '[1]DAR area codes'!A:B,2,FALSE)</f>
        <v>kauai</v>
      </c>
      <c r="D1404" s="4">
        <v>220.9</v>
      </c>
      <c r="E1404" s="6">
        <v>240.3</v>
      </c>
      <c r="F1404" s="3">
        <v>53.5</v>
      </c>
      <c r="G1404" s="3">
        <v>137041.5</v>
      </c>
    </row>
    <row r="1405" spans="1:7" x14ac:dyDescent="0.2">
      <c r="A1405" s="3">
        <v>2005</v>
      </c>
      <c r="B1405" s="3">
        <v>521</v>
      </c>
      <c r="C1405" s="3" t="str">
        <f>VLOOKUP(B1405, '[1]DAR area codes'!A:B,2,FALSE)</f>
        <v>kauai</v>
      </c>
      <c r="E1405" s="6"/>
      <c r="F1405" s="3">
        <v>0</v>
      </c>
      <c r="G1405" s="3">
        <v>3082.3</v>
      </c>
    </row>
    <row r="1406" spans="1:7" x14ac:dyDescent="0.2">
      <c r="A1406" s="3">
        <v>2005</v>
      </c>
      <c r="B1406" s="3">
        <v>522</v>
      </c>
      <c r="C1406" s="3" t="str">
        <f>VLOOKUP(B1406, '[1]DAR area codes'!A:B,2,FALSE)</f>
        <v>kauai</v>
      </c>
      <c r="E1406" s="6"/>
      <c r="F1406" s="3">
        <v>0</v>
      </c>
      <c r="G1406" s="3">
        <v>7295.2</v>
      </c>
    </row>
    <row r="1407" spans="1:7" x14ac:dyDescent="0.2">
      <c r="A1407" s="3">
        <v>2005</v>
      </c>
      <c r="B1407" s="3">
        <v>523</v>
      </c>
      <c r="C1407" s="3" t="str">
        <f>VLOOKUP(B1407, '[1]DAR area codes'!A:B,2,FALSE)</f>
        <v>kauai</v>
      </c>
      <c r="E1407" s="6"/>
      <c r="F1407" s="3">
        <v>0</v>
      </c>
      <c r="G1407" s="3">
        <v>52261.4</v>
      </c>
    </row>
    <row r="1408" spans="1:7" x14ac:dyDescent="0.2">
      <c r="A1408" s="3">
        <v>2005</v>
      </c>
      <c r="B1408" s="3">
        <v>524</v>
      </c>
      <c r="C1408" s="3" t="str">
        <f>VLOOKUP(B1408, '[1]DAR area codes'!A:B,2,FALSE)</f>
        <v>kauai</v>
      </c>
      <c r="E1408" s="6">
        <v>1135.2</v>
      </c>
      <c r="F1408" s="3">
        <v>203</v>
      </c>
      <c r="G1408" s="3">
        <v>101799.1</v>
      </c>
    </row>
    <row r="1409" spans="1:7" x14ac:dyDescent="0.2">
      <c r="A1409" s="3">
        <v>2005</v>
      </c>
      <c r="B1409" s="3">
        <v>525</v>
      </c>
      <c r="C1409" s="3" t="str">
        <f>VLOOKUP(B1409, '[1]DAR area codes'!A:B,2,FALSE)</f>
        <v>kauai</v>
      </c>
      <c r="E1409" s="6"/>
      <c r="F1409" s="3">
        <v>0</v>
      </c>
      <c r="G1409" s="3">
        <v>1583</v>
      </c>
    </row>
    <row r="1410" spans="1:7" x14ac:dyDescent="0.2">
      <c r="A1410" s="3">
        <v>2005</v>
      </c>
      <c r="B1410" s="3">
        <v>526</v>
      </c>
      <c r="C1410" s="3" t="str">
        <f>VLOOKUP(B1410, '[1]DAR area codes'!A:B,2,FALSE)</f>
        <v>kauai</v>
      </c>
      <c r="E1410" s="6"/>
      <c r="F1410" s="3">
        <v>0</v>
      </c>
      <c r="G1410" s="3">
        <v>0</v>
      </c>
    </row>
    <row r="1411" spans="1:7" x14ac:dyDescent="0.2">
      <c r="A1411" s="3">
        <v>2005</v>
      </c>
      <c r="B1411" s="3">
        <v>527</v>
      </c>
      <c r="C1411" s="3" t="str">
        <f>VLOOKUP(B1411, '[1]DAR area codes'!A:B,2,FALSE)</f>
        <v>kauai</v>
      </c>
      <c r="E1411" s="6"/>
      <c r="F1411" s="3">
        <v>0</v>
      </c>
      <c r="G1411" s="3">
        <v>2662.5</v>
      </c>
    </row>
    <row r="1412" spans="1:7" x14ac:dyDescent="0.2">
      <c r="A1412" s="3">
        <v>2005</v>
      </c>
      <c r="B1412" s="3">
        <v>528</v>
      </c>
      <c r="C1412" s="3" t="str">
        <f>VLOOKUP(B1412, '[1]DAR area codes'!A:B,2,FALSE)</f>
        <v>kauai</v>
      </c>
      <c r="E1412" s="6"/>
      <c r="F1412" s="3">
        <v>0</v>
      </c>
      <c r="G1412" s="3">
        <v>1374</v>
      </c>
    </row>
    <row r="1413" spans="1:7" x14ac:dyDescent="0.2">
      <c r="A1413" s="3">
        <v>2004</v>
      </c>
      <c r="B1413" s="3">
        <v>100</v>
      </c>
      <c r="C1413" s="3" t="str">
        <f>VLOOKUP(B1413, '[1]DAR area codes'!A:B,2,FALSE)</f>
        <v>hawaii</v>
      </c>
      <c r="D1413" s="4">
        <v>444</v>
      </c>
      <c r="E1413" s="6"/>
      <c r="F1413" s="3">
        <v>2240.25</v>
      </c>
      <c r="G1413" s="3">
        <v>73426.5</v>
      </c>
    </row>
    <row r="1414" spans="1:7" x14ac:dyDescent="0.2">
      <c r="A1414" s="3">
        <v>2004</v>
      </c>
      <c r="B1414" s="3">
        <v>101</v>
      </c>
      <c r="C1414" s="3" t="str">
        <f>VLOOKUP(B1414, '[1]DAR area codes'!A:B,2,FALSE)</f>
        <v>hawaii</v>
      </c>
      <c r="D1414" s="4">
        <v>581.4</v>
      </c>
      <c r="E1414" s="6">
        <v>974.7</v>
      </c>
      <c r="F1414" s="3">
        <v>118677.1</v>
      </c>
      <c r="G1414" s="3">
        <v>321770.59999999998</v>
      </c>
    </row>
    <row r="1415" spans="1:7" x14ac:dyDescent="0.2">
      <c r="A1415" s="3">
        <v>2004</v>
      </c>
      <c r="B1415" s="3">
        <v>102</v>
      </c>
      <c r="C1415" s="3" t="str">
        <f>VLOOKUP(B1415, '[1]DAR area codes'!A:B,2,FALSE)</f>
        <v>hawaii</v>
      </c>
      <c r="D1415" s="4">
        <v>2296.8000000000002</v>
      </c>
      <c r="E1415" s="6">
        <v>1631</v>
      </c>
      <c r="F1415" s="3">
        <v>2237.6</v>
      </c>
      <c r="G1415" s="3">
        <v>62168.1</v>
      </c>
    </row>
    <row r="1416" spans="1:7" x14ac:dyDescent="0.2">
      <c r="A1416" s="3">
        <v>2004</v>
      </c>
      <c r="B1416" s="3">
        <v>103</v>
      </c>
      <c r="C1416" s="3" t="str">
        <f>VLOOKUP(B1416, '[1]DAR area codes'!A:B,2,FALSE)</f>
        <v>hawaii</v>
      </c>
      <c r="D1416" s="4">
        <v>2069.5</v>
      </c>
      <c r="E1416" s="6">
        <v>592.5</v>
      </c>
      <c r="F1416" s="3">
        <v>340</v>
      </c>
      <c r="G1416" s="3">
        <v>3803</v>
      </c>
    </row>
    <row r="1417" spans="1:7" x14ac:dyDescent="0.2">
      <c r="A1417" s="3">
        <v>2004</v>
      </c>
      <c r="B1417" s="3">
        <v>104</v>
      </c>
      <c r="C1417" s="3" t="str">
        <f>VLOOKUP(B1417, '[1]DAR area codes'!A:B,2,FALSE)</f>
        <v>hawaii</v>
      </c>
      <c r="D1417" s="4">
        <v>760</v>
      </c>
      <c r="E1417" s="6"/>
      <c r="F1417" s="3">
        <v>2245.85</v>
      </c>
      <c r="G1417" s="3">
        <v>1898.5</v>
      </c>
    </row>
    <row r="1418" spans="1:7" x14ac:dyDescent="0.2">
      <c r="A1418" s="3">
        <v>2004</v>
      </c>
      <c r="B1418" s="3">
        <v>105</v>
      </c>
      <c r="C1418" s="3" t="str">
        <f>VLOOKUP(B1418, '[1]DAR area codes'!A:B,2,FALSE)</f>
        <v>hawaii</v>
      </c>
      <c r="D1418" s="4">
        <v>2678.5</v>
      </c>
      <c r="E1418" s="6">
        <v>513.70000000000005</v>
      </c>
      <c r="F1418" s="3">
        <v>24559.100000000002</v>
      </c>
      <c r="G1418" s="3">
        <v>3775</v>
      </c>
    </row>
    <row r="1419" spans="1:7" x14ac:dyDescent="0.2">
      <c r="A1419" s="3">
        <v>2004</v>
      </c>
      <c r="B1419" s="3">
        <v>106</v>
      </c>
      <c r="C1419" s="3" t="str">
        <f>VLOOKUP(B1419, '[1]DAR area codes'!A:B,2,FALSE)</f>
        <v>hawaii</v>
      </c>
      <c r="D1419" s="4">
        <v>1784.3</v>
      </c>
      <c r="E1419" s="6">
        <v>778</v>
      </c>
      <c r="F1419" s="3">
        <v>10713.349999999999</v>
      </c>
      <c r="G1419" s="3">
        <v>75434</v>
      </c>
    </row>
    <row r="1420" spans="1:7" x14ac:dyDescent="0.2">
      <c r="A1420" s="3">
        <v>2004</v>
      </c>
      <c r="B1420" s="3">
        <v>107</v>
      </c>
      <c r="C1420" s="3" t="str">
        <f>VLOOKUP(B1420, '[1]DAR area codes'!A:B,2,FALSE)</f>
        <v>hawaii</v>
      </c>
      <c r="D1420" s="4">
        <v>2999.6</v>
      </c>
      <c r="E1420" s="6"/>
      <c r="F1420" s="3">
        <v>2937</v>
      </c>
      <c r="G1420" s="3">
        <v>83485</v>
      </c>
    </row>
    <row r="1421" spans="1:7" x14ac:dyDescent="0.2">
      <c r="A1421" s="3">
        <v>2004</v>
      </c>
      <c r="B1421" s="3">
        <v>108</v>
      </c>
      <c r="C1421" s="3" t="str">
        <f>VLOOKUP(B1421, '[1]DAR area codes'!A:B,2,FALSE)</f>
        <v>hawaii</v>
      </c>
      <c r="D1421" s="4">
        <v>1630.5</v>
      </c>
      <c r="E1421" s="6">
        <v>539.79999999999995</v>
      </c>
      <c r="F1421" s="3">
        <v>1169.4000000000001</v>
      </c>
      <c r="G1421" s="3">
        <v>21969.3</v>
      </c>
    </row>
    <row r="1422" spans="1:7" x14ac:dyDescent="0.2">
      <c r="A1422" s="3">
        <v>2004</v>
      </c>
      <c r="B1422" s="3">
        <v>120</v>
      </c>
      <c r="C1422" s="3" t="str">
        <f>VLOOKUP(B1422, '[1]DAR area codes'!A:B,2,FALSE)</f>
        <v>hawaii</v>
      </c>
      <c r="D1422" s="4">
        <v>3527.6</v>
      </c>
      <c r="E1422" s="6"/>
      <c r="F1422" s="3">
        <v>0</v>
      </c>
      <c r="G1422" s="3">
        <v>54707.600000000006</v>
      </c>
    </row>
    <row r="1423" spans="1:7" x14ac:dyDescent="0.2">
      <c r="A1423" s="3">
        <v>2004</v>
      </c>
      <c r="B1423" s="3">
        <v>121</v>
      </c>
      <c r="C1423" s="3" t="str">
        <f>VLOOKUP(B1423, '[1]DAR area codes'!A:B,2,FALSE)</f>
        <v>hawaii</v>
      </c>
      <c r="D1423" s="4">
        <v>2609.6999999999998</v>
      </c>
      <c r="E1423" s="6">
        <v>676.5</v>
      </c>
      <c r="F1423" s="3">
        <v>9100.7999999999993</v>
      </c>
      <c r="G1423" s="3">
        <v>708864.10000000009</v>
      </c>
    </row>
    <row r="1424" spans="1:7" x14ac:dyDescent="0.2">
      <c r="A1424" s="3">
        <v>2004</v>
      </c>
      <c r="B1424" s="3">
        <v>122</v>
      </c>
      <c r="C1424" s="3" t="str">
        <f>VLOOKUP(B1424, '[1]DAR area codes'!A:B,2,FALSE)</f>
        <v>hawaii</v>
      </c>
      <c r="D1424" s="4">
        <v>3541.7</v>
      </c>
      <c r="E1424" s="6">
        <v>3308</v>
      </c>
      <c r="F1424" s="3">
        <v>39.5</v>
      </c>
      <c r="G1424" s="3">
        <v>114157.8</v>
      </c>
    </row>
    <row r="1425" spans="1:7" x14ac:dyDescent="0.2">
      <c r="A1425" s="3">
        <v>2004</v>
      </c>
      <c r="B1425" s="3">
        <v>123</v>
      </c>
      <c r="C1425" s="3" t="str">
        <f>VLOOKUP(B1425, '[1]DAR area codes'!A:B,2,FALSE)</f>
        <v>hawaii</v>
      </c>
      <c r="D1425" s="4">
        <v>727.5</v>
      </c>
      <c r="E1425" s="6"/>
      <c r="F1425" s="3">
        <v>0</v>
      </c>
      <c r="G1425" s="3">
        <v>56700.5</v>
      </c>
    </row>
    <row r="1426" spans="1:7" x14ac:dyDescent="0.2">
      <c r="A1426" s="3">
        <v>2004</v>
      </c>
      <c r="B1426" s="3">
        <v>124</v>
      </c>
      <c r="C1426" s="3" t="str">
        <f>VLOOKUP(B1426, '[1]DAR area codes'!A:B,2,FALSE)</f>
        <v>hawaii</v>
      </c>
      <c r="E1426" s="6"/>
      <c r="F1426" s="3">
        <v>0</v>
      </c>
      <c r="G1426" s="3">
        <v>57302</v>
      </c>
    </row>
    <row r="1427" spans="1:7" x14ac:dyDescent="0.2">
      <c r="A1427" s="3">
        <v>2004</v>
      </c>
      <c r="B1427" s="3">
        <v>125</v>
      </c>
      <c r="C1427" s="3" t="str">
        <f>VLOOKUP(B1427, '[1]DAR area codes'!A:B,2,FALSE)</f>
        <v>hawaii</v>
      </c>
      <c r="D1427" s="4">
        <v>2722</v>
      </c>
      <c r="E1427" s="6">
        <v>625.5</v>
      </c>
      <c r="F1427" s="3">
        <v>395.1</v>
      </c>
      <c r="G1427" s="3">
        <v>231609.5</v>
      </c>
    </row>
    <row r="1428" spans="1:7" x14ac:dyDescent="0.2">
      <c r="A1428" s="3">
        <v>2004</v>
      </c>
      <c r="B1428" s="3">
        <v>126</v>
      </c>
      <c r="C1428" s="3" t="str">
        <f>VLOOKUP(B1428, '[1]DAR area codes'!A:B,2,FALSE)</f>
        <v>hawaii</v>
      </c>
      <c r="D1428" s="4">
        <v>849.5</v>
      </c>
      <c r="E1428" s="6"/>
      <c r="F1428" s="3">
        <v>0</v>
      </c>
      <c r="G1428" s="3">
        <v>187943.5</v>
      </c>
    </row>
    <row r="1429" spans="1:7" x14ac:dyDescent="0.2">
      <c r="A1429" s="3">
        <v>2004</v>
      </c>
      <c r="B1429" s="3">
        <v>127</v>
      </c>
      <c r="C1429" s="3" t="str">
        <f>VLOOKUP(B1429, '[1]DAR area codes'!A:B,2,FALSE)</f>
        <v>hawaii</v>
      </c>
      <c r="D1429" s="4">
        <v>954</v>
      </c>
      <c r="E1429" s="6"/>
      <c r="F1429" s="3">
        <v>0</v>
      </c>
      <c r="G1429" s="3">
        <v>77578</v>
      </c>
    </row>
    <row r="1430" spans="1:7" x14ac:dyDescent="0.2">
      <c r="A1430" s="3">
        <v>2004</v>
      </c>
      <c r="B1430" s="3">
        <v>128</v>
      </c>
      <c r="C1430" s="3" t="str">
        <f>VLOOKUP(B1430, '[1]DAR area codes'!A:B,2,FALSE)</f>
        <v>hawaii</v>
      </c>
      <c r="D1430" s="4">
        <v>2471</v>
      </c>
      <c r="E1430" s="6"/>
      <c r="F1430" s="3">
        <v>0</v>
      </c>
      <c r="G1430" s="3">
        <v>7390.4</v>
      </c>
    </row>
    <row r="1431" spans="1:7" x14ac:dyDescent="0.2">
      <c r="A1431" s="3">
        <v>2004</v>
      </c>
      <c r="B1431" s="3">
        <v>300</v>
      </c>
      <c r="C1431" s="3" t="str">
        <f>VLOOKUP(B1431, '[1]DAR area codes'!A:B,2,FALSE)</f>
        <v>maui</v>
      </c>
      <c r="D1431" s="4">
        <v>67</v>
      </c>
      <c r="E1431" s="6">
        <v>6273.6</v>
      </c>
      <c r="F1431" s="3">
        <v>82545</v>
      </c>
      <c r="G1431" s="3">
        <v>2009.5</v>
      </c>
    </row>
    <row r="1432" spans="1:7" x14ac:dyDescent="0.2">
      <c r="A1432" s="3">
        <v>2004</v>
      </c>
      <c r="B1432" s="3">
        <v>301</v>
      </c>
      <c r="C1432" s="3" t="str">
        <f>VLOOKUP(B1432, '[1]DAR area codes'!A:B,2,FALSE)</f>
        <v>maui</v>
      </c>
      <c r="D1432" s="4">
        <v>651.20000000000005</v>
      </c>
      <c r="E1432" s="6">
        <v>1181.5</v>
      </c>
      <c r="F1432" s="3">
        <v>2347.8000000000002</v>
      </c>
      <c r="G1432" s="3">
        <v>321.5</v>
      </c>
    </row>
    <row r="1433" spans="1:7" x14ac:dyDescent="0.2">
      <c r="A1433" s="3">
        <v>2004</v>
      </c>
      <c r="B1433" s="3">
        <v>302</v>
      </c>
      <c r="C1433" s="3" t="str">
        <f>VLOOKUP(B1433, '[1]DAR area codes'!A:B,2,FALSE)</f>
        <v>maui</v>
      </c>
      <c r="D1433" s="4">
        <v>1244.0999999999999</v>
      </c>
      <c r="E1433" s="6"/>
      <c r="F1433" s="3">
        <v>20132.3</v>
      </c>
      <c r="G1433" s="3">
        <v>1859.8000000000002</v>
      </c>
    </row>
    <row r="1434" spans="1:7" x14ac:dyDescent="0.2">
      <c r="A1434" s="3">
        <v>2004</v>
      </c>
      <c r="B1434" s="3">
        <v>303</v>
      </c>
      <c r="C1434" s="3" t="str">
        <f>VLOOKUP(B1434, '[1]DAR area codes'!A:B,2,FALSE)</f>
        <v>maui</v>
      </c>
      <c r="D1434" s="4">
        <v>2066.6</v>
      </c>
      <c r="E1434" s="6">
        <v>1206.2</v>
      </c>
      <c r="F1434" s="3">
        <v>1231.8999999999999</v>
      </c>
      <c r="G1434" s="3">
        <v>6776.6</v>
      </c>
    </row>
    <row r="1435" spans="1:7" x14ac:dyDescent="0.2">
      <c r="A1435" s="3">
        <v>2004</v>
      </c>
      <c r="B1435" s="3">
        <v>304</v>
      </c>
      <c r="C1435" s="3" t="str">
        <f>VLOOKUP(B1435, '[1]DAR area codes'!A:B,2,FALSE)</f>
        <v>maui</v>
      </c>
      <c r="D1435" s="4">
        <v>4840.1000000000004</v>
      </c>
      <c r="E1435" s="6">
        <v>2699.9</v>
      </c>
      <c r="F1435" s="3">
        <v>789.1</v>
      </c>
      <c r="G1435" s="3">
        <v>2566.1</v>
      </c>
    </row>
    <row r="1436" spans="1:7" x14ac:dyDescent="0.2">
      <c r="A1436" s="3">
        <v>2004</v>
      </c>
      <c r="B1436" s="3">
        <v>305</v>
      </c>
      <c r="C1436" s="3" t="str">
        <f>VLOOKUP(B1436, '[1]DAR area codes'!A:B,2,FALSE)</f>
        <v>maui</v>
      </c>
      <c r="D1436" s="4">
        <v>9254.2999999999993</v>
      </c>
      <c r="E1436" s="6">
        <v>2241.1999999999998</v>
      </c>
      <c r="F1436" s="3">
        <v>3476.6</v>
      </c>
      <c r="G1436" s="3">
        <v>9684</v>
      </c>
    </row>
    <row r="1437" spans="1:7" x14ac:dyDescent="0.2">
      <c r="A1437" s="3">
        <v>2004</v>
      </c>
      <c r="B1437" s="3">
        <v>306</v>
      </c>
      <c r="C1437" s="3" t="str">
        <f>VLOOKUP(B1437, '[1]DAR area codes'!A:B,2,FALSE)</f>
        <v>maui</v>
      </c>
      <c r="E1437" s="6"/>
      <c r="F1437" s="3">
        <v>0</v>
      </c>
      <c r="G1437" s="3">
        <v>24261.599999999999</v>
      </c>
    </row>
    <row r="1438" spans="1:7" x14ac:dyDescent="0.2">
      <c r="A1438" s="3">
        <v>2004</v>
      </c>
      <c r="B1438" s="3">
        <v>307</v>
      </c>
      <c r="C1438" s="3" t="str">
        <f>VLOOKUP(B1438, '[1]DAR area codes'!A:B,2,FALSE)</f>
        <v>maui</v>
      </c>
      <c r="D1438" s="4">
        <v>321.60000000000002</v>
      </c>
      <c r="E1438" s="6"/>
      <c r="F1438" s="3">
        <v>0</v>
      </c>
      <c r="G1438" s="3">
        <v>2515.1</v>
      </c>
    </row>
    <row r="1439" spans="1:7" x14ac:dyDescent="0.2">
      <c r="A1439" s="3">
        <v>2004</v>
      </c>
      <c r="B1439" s="3">
        <v>308</v>
      </c>
      <c r="C1439" s="3" t="str">
        <f>VLOOKUP(B1439, '[1]DAR area codes'!A:B,2,FALSE)</f>
        <v>maui</v>
      </c>
      <c r="D1439" s="4">
        <v>8348.7999999999993</v>
      </c>
      <c r="E1439" s="6">
        <v>1552.3</v>
      </c>
      <c r="F1439" s="3">
        <v>3617.6</v>
      </c>
      <c r="G1439" s="3">
        <v>17979</v>
      </c>
    </row>
    <row r="1440" spans="1:7" x14ac:dyDescent="0.2">
      <c r="A1440" s="3">
        <v>2004</v>
      </c>
      <c r="B1440" s="3">
        <v>309</v>
      </c>
      <c r="C1440" s="3" t="str">
        <f>VLOOKUP(B1440, '[1]DAR area codes'!A:B,2,FALSE)</f>
        <v>maui</v>
      </c>
      <c r="E1440" s="6"/>
      <c r="F1440" s="3">
        <v>569</v>
      </c>
      <c r="G1440" s="3">
        <v>2917</v>
      </c>
    </row>
    <row r="1441" spans="1:7" x14ac:dyDescent="0.2">
      <c r="A1441" s="3">
        <v>2004</v>
      </c>
      <c r="B1441" s="3">
        <v>310</v>
      </c>
      <c r="C1441" s="3" t="str">
        <f>VLOOKUP(B1441, '[1]DAR area codes'!A:B,2,FALSE)</f>
        <v>maui</v>
      </c>
      <c r="E1441" s="6"/>
      <c r="F1441" s="3">
        <v>1066.5</v>
      </c>
      <c r="G1441" s="3">
        <v>3460.5</v>
      </c>
    </row>
    <row r="1442" spans="1:7" x14ac:dyDescent="0.2">
      <c r="A1442" s="3">
        <v>2004</v>
      </c>
      <c r="B1442" s="3">
        <v>311</v>
      </c>
      <c r="C1442" s="3" t="str">
        <f>VLOOKUP(B1442, '[1]DAR area codes'!A:B,2,FALSE)</f>
        <v>maui</v>
      </c>
      <c r="E1442" s="6"/>
      <c r="F1442" s="3">
        <v>0</v>
      </c>
      <c r="G1442" s="3">
        <v>782</v>
      </c>
    </row>
    <row r="1443" spans="1:7" x14ac:dyDescent="0.2">
      <c r="A1443" s="3">
        <v>2004</v>
      </c>
      <c r="B1443" s="3">
        <v>312</v>
      </c>
      <c r="C1443" s="3" t="str">
        <f>VLOOKUP(B1443, '[1]DAR area codes'!A:B,2,FALSE)</f>
        <v>maui</v>
      </c>
      <c r="D1443" s="4">
        <v>323</v>
      </c>
      <c r="E1443" s="6"/>
      <c r="F1443" s="3">
        <v>163.60000000000002</v>
      </c>
      <c r="G1443" s="3">
        <v>1411</v>
      </c>
    </row>
    <row r="1444" spans="1:7" x14ac:dyDescent="0.2">
      <c r="A1444" s="3">
        <v>2004</v>
      </c>
      <c r="B1444" s="3">
        <v>313</v>
      </c>
      <c r="C1444" s="3" t="str">
        <f>VLOOKUP(B1444, '[1]DAR area codes'!A:B,2,FALSE)</f>
        <v>maui</v>
      </c>
      <c r="D1444" s="4">
        <v>13886.6</v>
      </c>
      <c r="E1444" s="6">
        <v>1060.5</v>
      </c>
      <c r="F1444" s="3">
        <v>0</v>
      </c>
      <c r="G1444" s="3">
        <v>2666</v>
      </c>
    </row>
    <row r="1445" spans="1:7" x14ac:dyDescent="0.2">
      <c r="A1445" s="3">
        <v>2004</v>
      </c>
      <c r="B1445" s="3">
        <v>314</v>
      </c>
      <c r="C1445" s="3" t="str">
        <f>VLOOKUP(B1445, '[1]DAR area codes'!A:B,2,FALSE)</f>
        <v>maui</v>
      </c>
      <c r="E1445" s="6"/>
      <c r="F1445" s="3">
        <v>0</v>
      </c>
      <c r="G1445" s="3">
        <v>1965.5</v>
      </c>
    </row>
    <row r="1446" spans="1:7" x14ac:dyDescent="0.2">
      <c r="A1446" s="3">
        <v>2004</v>
      </c>
      <c r="B1446" s="3">
        <v>320</v>
      </c>
      <c r="C1446" s="3" t="str">
        <f>VLOOKUP(B1446, '[1]DAR area codes'!A:B,2,FALSE)</f>
        <v>maui</v>
      </c>
      <c r="D1446" s="4">
        <v>24295.4</v>
      </c>
      <c r="E1446" s="6">
        <v>2801.4</v>
      </c>
      <c r="F1446" s="3">
        <v>24788.400000000001</v>
      </c>
      <c r="G1446" s="3">
        <v>25853.4</v>
      </c>
    </row>
    <row r="1447" spans="1:7" x14ac:dyDescent="0.2">
      <c r="A1447" s="3">
        <v>2004</v>
      </c>
      <c r="B1447" s="3">
        <v>321</v>
      </c>
      <c r="C1447" s="3" t="str">
        <f>VLOOKUP(B1447, '[1]DAR area codes'!A:B,2,FALSE)</f>
        <v>maui</v>
      </c>
      <c r="D1447" s="4">
        <v>17782.900000000001</v>
      </c>
      <c r="E1447" s="6">
        <v>1713.3</v>
      </c>
      <c r="F1447" s="3">
        <v>1093.9000000000001</v>
      </c>
      <c r="G1447" s="3">
        <v>3811.1</v>
      </c>
    </row>
    <row r="1448" spans="1:7" x14ac:dyDescent="0.2">
      <c r="A1448" s="3">
        <v>2004</v>
      </c>
      <c r="B1448" s="3">
        <v>322</v>
      </c>
      <c r="C1448" s="3" t="str">
        <f>VLOOKUP(B1448, '[1]DAR area codes'!A:B,2,FALSE)</f>
        <v>maui</v>
      </c>
      <c r="D1448" s="4">
        <v>1878.8</v>
      </c>
      <c r="E1448" s="6"/>
      <c r="F1448" s="3">
        <v>0</v>
      </c>
      <c r="G1448" s="3">
        <v>6774.7</v>
      </c>
    </row>
    <row r="1449" spans="1:7" x14ac:dyDescent="0.2">
      <c r="A1449" s="3">
        <v>2004</v>
      </c>
      <c r="B1449" s="3">
        <v>323</v>
      </c>
      <c r="C1449" s="3" t="str">
        <f>VLOOKUP(B1449, '[1]DAR area codes'!A:B,2,FALSE)</f>
        <v>maui</v>
      </c>
      <c r="D1449" s="4">
        <v>463.2</v>
      </c>
      <c r="E1449" s="6"/>
      <c r="F1449" s="3">
        <v>51.5</v>
      </c>
      <c r="G1449" s="3">
        <v>172786.59999999998</v>
      </c>
    </row>
    <row r="1450" spans="1:7" x14ac:dyDescent="0.2">
      <c r="A1450" s="3">
        <v>2004</v>
      </c>
      <c r="B1450" s="3">
        <v>324</v>
      </c>
      <c r="C1450" s="3" t="str">
        <f>VLOOKUP(B1450, '[1]DAR area codes'!A:B,2,FALSE)</f>
        <v>maui</v>
      </c>
      <c r="D1450" s="4">
        <v>928.5</v>
      </c>
      <c r="E1450" s="6"/>
      <c r="F1450" s="3">
        <v>0</v>
      </c>
      <c r="G1450" s="3">
        <v>17227.3</v>
      </c>
    </row>
    <row r="1451" spans="1:7" x14ac:dyDescent="0.2">
      <c r="A1451" s="3">
        <v>2004</v>
      </c>
      <c r="B1451" s="3">
        <v>325</v>
      </c>
      <c r="C1451" s="3" t="str">
        <f>VLOOKUP(B1451, '[1]DAR area codes'!A:B,2,FALSE)</f>
        <v>maui</v>
      </c>
      <c r="D1451" s="4">
        <v>698.9</v>
      </c>
      <c r="E1451" s="6"/>
      <c r="F1451" s="3">
        <v>0</v>
      </c>
      <c r="G1451" s="3">
        <v>5479.4</v>
      </c>
    </row>
    <row r="1452" spans="1:7" x14ac:dyDescent="0.2">
      <c r="A1452" s="3">
        <v>2004</v>
      </c>
      <c r="B1452" s="3">
        <v>326</v>
      </c>
      <c r="C1452" s="3" t="str">
        <f>VLOOKUP(B1452, '[1]DAR area codes'!A:B,2,FALSE)</f>
        <v>maui</v>
      </c>
      <c r="E1452" s="6"/>
      <c r="F1452" s="3">
        <v>0</v>
      </c>
      <c r="G1452" s="3">
        <v>21957.200000000001</v>
      </c>
    </row>
    <row r="1453" spans="1:7" x14ac:dyDescent="0.2">
      <c r="A1453" s="3">
        <v>2004</v>
      </c>
      <c r="B1453" s="3">
        <v>327</v>
      </c>
      <c r="C1453" s="3" t="str">
        <f>VLOOKUP(B1453, '[1]DAR area codes'!A:B,2,FALSE)</f>
        <v>maui</v>
      </c>
      <c r="D1453" s="4">
        <v>24891.9</v>
      </c>
      <c r="E1453" s="6">
        <v>2449.8000000000002</v>
      </c>
      <c r="F1453" s="3">
        <v>16</v>
      </c>
      <c r="G1453" s="3">
        <v>35291.800000000003</v>
      </c>
    </row>
    <row r="1454" spans="1:7" x14ac:dyDescent="0.2">
      <c r="A1454" s="3">
        <v>2004</v>
      </c>
      <c r="B1454" s="3">
        <v>328</v>
      </c>
      <c r="C1454" s="3" t="str">
        <f>VLOOKUP(B1454, '[1]DAR area codes'!A:B,2,FALSE)</f>
        <v>maui</v>
      </c>
      <c r="D1454" s="4">
        <v>1704</v>
      </c>
      <c r="E1454" s="6"/>
      <c r="F1454" s="3">
        <v>0</v>
      </c>
      <c r="G1454" s="3">
        <v>82956.600000000006</v>
      </c>
    </row>
    <row r="1455" spans="1:7" x14ac:dyDescent="0.2">
      <c r="A1455" s="3">
        <v>2004</v>
      </c>
      <c r="B1455" s="3">
        <v>331</v>
      </c>
      <c r="C1455" s="3" t="str">
        <f>VLOOKUP(B1455, '[1]DAR area codes'!A:B,2,FALSE)</f>
        <v>maui</v>
      </c>
      <c r="D1455" s="4">
        <v>44357.3</v>
      </c>
      <c r="E1455" s="6">
        <v>31562.5</v>
      </c>
      <c r="F1455" s="3">
        <v>286</v>
      </c>
      <c r="G1455" s="3">
        <v>30445.5</v>
      </c>
    </row>
    <row r="1456" spans="1:7" x14ac:dyDescent="0.2">
      <c r="A1456" s="3">
        <v>2004</v>
      </c>
      <c r="B1456" s="3">
        <v>332</v>
      </c>
      <c r="C1456" s="3" t="str">
        <f>VLOOKUP(B1456, '[1]DAR area codes'!A:B,2,FALSE)</f>
        <v>maui</v>
      </c>
      <c r="E1456" s="6"/>
      <c r="F1456" s="3">
        <v>0</v>
      </c>
      <c r="G1456" s="3">
        <v>49024.1</v>
      </c>
    </row>
    <row r="1457" spans="1:7" x14ac:dyDescent="0.2">
      <c r="A1457" s="3">
        <v>2004</v>
      </c>
      <c r="B1457" s="3">
        <v>333</v>
      </c>
      <c r="C1457" s="3" t="str">
        <f>VLOOKUP(B1457, '[1]DAR area codes'!A:B,2,FALSE)</f>
        <v>maui</v>
      </c>
      <c r="E1457" s="6"/>
      <c r="F1457" s="3">
        <v>0</v>
      </c>
      <c r="G1457" s="3">
        <v>32358</v>
      </c>
    </row>
    <row r="1458" spans="1:7" x14ac:dyDescent="0.2">
      <c r="A1458" s="3">
        <v>2004</v>
      </c>
      <c r="B1458" s="3">
        <v>400</v>
      </c>
      <c r="C1458" s="3" t="str">
        <f>VLOOKUP(B1458, '[1]DAR area codes'!A:B,2,FALSE)</f>
        <v>oahu</v>
      </c>
      <c r="D1458" s="4">
        <v>46.8</v>
      </c>
      <c r="E1458" s="6">
        <v>1103.0999999999999</v>
      </c>
      <c r="F1458" s="3">
        <v>31763.4</v>
      </c>
      <c r="G1458" s="3">
        <v>813</v>
      </c>
    </row>
    <row r="1459" spans="1:7" x14ac:dyDescent="0.2">
      <c r="A1459" s="3">
        <v>2004</v>
      </c>
      <c r="B1459" s="3">
        <v>401</v>
      </c>
      <c r="C1459" s="3" t="str">
        <f>VLOOKUP(B1459, '[1]DAR area codes'!A:B,2,FALSE)</f>
        <v>oahu</v>
      </c>
      <c r="D1459" s="4">
        <v>130</v>
      </c>
      <c r="E1459" s="6">
        <v>955.3</v>
      </c>
      <c r="F1459" s="3">
        <v>68840.000000000015</v>
      </c>
      <c r="G1459" s="3">
        <v>2572.5</v>
      </c>
    </row>
    <row r="1460" spans="1:7" x14ac:dyDescent="0.2">
      <c r="A1460" s="3">
        <v>2004</v>
      </c>
      <c r="B1460" s="3">
        <v>402</v>
      </c>
      <c r="C1460" s="3" t="str">
        <f>VLOOKUP(B1460, '[1]DAR area codes'!A:B,2,FALSE)</f>
        <v>oahu</v>
      </c>
      <c r="D1460" s="4">
        <v>216.6</v>
      </c>
      <c r="E1460" s="6">
        <v>10234.6</v>
      </c>
      <c r="F1460" s="3">
        <v>74346.799999999988</v>
      </c>
      <c r="G1460" s="3">
        <v>14589.8</v>
      </c>
    </row>
    <row r="1461" spans="1:7" x14ac:dyDescent="0.2">
      <c r="A1461" s="3">
        <v>2004</v>
      </c>
      <c r="B1461" s="3">
        <v>403</v>
      </c>
      <c r="C1461" s="3" t="str">
        <f>VLOOKUP(B1461, '[1]DAR area codes'!A:B,2,FALSE)</f>
        <v>oahu</v>
      </c>
      <c r="D1461" s="4">
        <v>1028.4000000000001</v>
      </c>
      <c r="E1461" s="6">
        <v>5683.6</v>
      </c>
      <c r="F1461" s="3">
        <v>138288.1</v>
      </c>
      <c r="G1461" s="3">
        <v>52156</v>
      </c>
    </row>
    <row r="1462" spans="1:7" x14ac:dyDescent="0.2">
      <c r="A1462" s="3">
        <v>2004</v>
      </c>
      <c r="B1462" s="3">
        <v>404</v>
      </c>
      <c r="C1462" s="3" t="str">
        <f>VLOOKUP(B1462, '[1]DAR area codes'!A:B,2,FALSE)</f>
        <v>oahu</v>
      </c>
      <c r="D1462" s="4">
        <v>1406.8</v>
      </c>
      <c r="E1462" s="6">
        <v>1422</v>
      </c>
      <c r="F1462" s="3">
        <v>70506.099999999991</v>
      </c>
      <c r="G1462" s="3">
        <v>5171</v>
      </c>
    </row>
    <row r="1463" spans="1:7" x14ac:dyDescent="0.2">
      <c r="A1463" s="3">
        <v>2004</v>
      </c>
      <c r="B1463" s="3">
        <v>405</v>
      </c>
      <c r="C1463" s="3" t="str">
        <f>VLOOKUP(B1463, '[1]DAR area codes'!A:B,2,FALSE)</f>
        <v>oahu</v>
      </c>
      <c r="D1463" s="4">
        <v>622.6</v>
      </c>
      <c r="E1463" s="6">
        <v>237.3</v>
      </c>
      <c r="F1463" s="3">
        <v>19537.300000000003</v>
      </c>
      <c r="G1463" s="3">
        <v>7040</v>
      </c>
    </row>
    <row r="1464" spans="1:7" x14ac:dyDescent="0.2">
      <c r="A1464" s="3">
        <v>2004</v>
      </c>
      <c r="B1464" s="3">
        <v>406</v>
      </c>
      <c r="C1464" s="3" t="str">
        <f>VLOOKUP(B1464, '[1]DAR area codes'!A:B,2,FALSE)</f>
        <v>oahu</v>
      </c>
      <c r="E1464" s="6"/>
      <c r="F1464" s="3">
        <v>4466.5999999999995</v>
      </c>
      <c r="G1464" s="3">
        <v>1653</v>
      </c>
    </row>
    <row r="1465" spans="1:7" x14ac:dyDescent="0.2">
      <c r="A1465" s="3">
        <v>2004</v>
      </c>
      <c r="B1465" s="3">
        <v>407</v>
      </c>
      <c r="C1465" s="3" t="str">
        <f>VLOOKUP(B1465, '[1]DAR area codes'!A:B,2,FALSE)</f>
        <v>oahu</v>
      </c>
      <c r="E1465" s="6">
        <v>973</v>
      </c>
      <c r="F1465" s="3">
        <v>50951.799999999996</v>
      </c>
      <c r="G1465" s="3">
        <v>6807</v>
      </c>
    </row>
    <row r="1466" spans="1:7" x14ac:dyDescent="0.2">
      <c r="A1466" s="3">
        <v>2004</v>
      </c>
      <c r="B1466" s="3">
        <v>408</v>
      </c>
      <c r="C1466" s="3" t="str">
        <f>VLOOKUP(B1466, '[1]DAR area codes'!A:B,2,FALSE)</f>
        <v>oahu</v>
      </c>
      <c r="D1466" s="4">
        <v>2162</v>
      </c>
      <c r="E1466" s="6">
        <v>309.2</v>
      </c>
      <c r="F1466" s="3">
        <v>3979.55</v>
      </c>
      <c r="G1466" s="3">
        <v>1584</v>
      </c>
    </row>
    <row r="1467" spans="1:7" x14ac:dyDescent="0.2">
      <c r="A1467" s="3">
        <v>2004</v>
      </c>
      <c r="B1467" s="3">
        <v>409</v>
      </c>
      <c r="C1467" s="3" t="str">
        <f>VLOOKUP(B1467, '[1]DAR area codes'!A:B,2,FALSE)</f>
        <v>oahu</v>
      </c>
      <c r="D1467" s="4">
        <v>551</v>
      </c>
      <c r="E1467" s="6">
        <v>1080.4000000000001</v>
      </c>
      <c r="F1467" s="3">
        <v>25885.5</v>
      </c>
      <c r="G1467" s="3">
        <v>1093</v>
      </c>
    </row>
    <row r="1468" spans="1:7" x14ac:dyDescent="0.2">
      <c r="A1468" s="3">
        <v>2004</v>
      </c>
      <c r="B1468" s="3">
        <v>420</v>
      </c>
      <c r="C1468" s="3" t="str">
        <f>VLOOKUP(B1468, '[1]DAR area codes'!A:B,2,FALSE)</f>
        <v>oahu</v>
      </c>
      <c r="E1468" s="6"/>
      <c r="F1468" s="3">
        <v>0</v>
      </c>
      <c r="G1468" s="3">
        <v>40679.5</v>
      </c>
    </row>
    <row r="1469" spans="1:7" x14ac:dyDescent="0.2">
      <c r="A1469" s="3">
        <v>2004</v>
      </c>
      <c r="B1469" s="3">
        <v>421</v>
      </c>
      <c r="C1469" s="3" t="str">
        <f>VLOOKUP(B1469, '[1]DAR area codes'!A:B,2,FALSE)</f>
        <v>oahu</v>
      </c>
      <c r="D1469" s="4">
        <v>160.5</v>
      </c>
      <c r="E1469" s="6"/>
      <c r="F1469" s="3">
        <v>263</v>
      </c>
      <c r="G1469" s="3">
        <v>213668.9</v>
      </c>
    </row>
    <row r="1470" spans="1:7" x14ac:dyDescent="0.2">
      <c r="A1470" s="3">
        <v>2004</v>
      </c>
      <c r="B1470" s="3">
        <v>422</v>
      </c>
      <c r="C1470" s="3" t="str">
        <f>VLOOKUP(B1470, '[1]DAR area codes'!A:B,2,FALSE)</f>
        <v>oahu</v>
      </c>
      <c r="E1470" s="6"/>
      <c r="F1470" s="3">
        <v>84</v>
      </c>
      <c r="G1470" s="3">
        <v>106837.20000000001</v>
      </c>
    </row>
    <row r="1471" spans="1:7" x14ac:dyDescent="0.2">
      <c r="A1471" s="3">
        <v>2004</v>
      </c>
      <c r="B1471" s="3">
        <v>423</v>
      </c>
      <c r="C1471" s="3" t="str">
        <f>VLOOKUP(B1471, '[1]DAR area codes'!A:B,2,FALSE)</f>
        <v>oahu</v>
      </c>
      <c r="D1471" s="4">
        <v>1905</v>
      </c>
      <c r="E1471" s="6">
        <v>317</v>
      </c>
      <c r="F1471" s="3">
        <v>21600.3</v>
      </c>
      <c r="G1471" s="3">
        <v>166582.79999999999</v>
      </c>
    </row>
    <row r="1472" spans="1:7" x14ac:dyDescent="0.2">
      <c r="A1472" s="3">
        <v>2004</v>
      </c>
      <c r="B1472" s="3">
        <v>424</v>
      </c>
      <c r="C1472" s="3" t="str">
        <f>VLOOKUP(B1472, '[1]DAR area codes'!A:B,2,FALSE)</f>
        <v>oahu</v>
      </c>
      <c r="D1472" s="4">
        <v>2921.4</v>
      </c>
      <c r="E1472" s="6">
        <v>639</v>
      </c>
      <c r="F1472" s="3">
        <v>717.09999999999991</v>
      </c>
      <c r="G1472" s="3">
        <v>88580.4</v>
      </c>
    </row>
    <row r="1473" spans="1:7" x14ac:dyDescent="0.2">
      <c r="A1473" s="3">
        <v>2004</v>
      </c>
      <c r="B1473" s="3">
        <v>425</v>
      </c>
      <c r="C1473" s="3" t="str">
        <f>VLOOKUP(B1473, '[1]DAR area codes'!A:B,2,FALSE)</f>
        <v>oahu</v>
      </c>
      <c r="E1473" s="6"/>
      <c r="F1473" s="3">
        <v>38</v>
      </c>
      <c r="G1473" s="3">
        <v>292335.7</v>
      </c>
    </row>
    <row r="1474" spans="1:7" x14ac:dyDescent="0.2">
      <c r="A1474" s="3">
        <v>2004</v>
      </c>
      <c r="B1474" s="3">
        <v>426</v>
      </c>
      <c r="C1474" s="3" t="str">
        <f>VLOOKUP(B1474, '[1]DAR area codes'!A:B,2,FALSE)</f>
        <v>oahu</v>
      </c>
      <c r="E1474" s="6"/>
      <c r="F1474" s="3">
        <v>0</v>
      </c>
      <c r="G1474" s="3">
        <v>200221.5</v>
      </c>
    </row>
    <row r="1475" spans="1:7" x14ac:dyDescent="0.2">
      <c r="A1475" s="3">
        <v>2004</v>
      </c>
      <c r="B1475" s="3">
        <v>427</v>
      </c>
      <c r="C1475" s="3" t="str">
        <f>VLOOKUP(B1475, '[1]DAR area codes'!A:B,2,FALSE)</f>
        <v>oahu</v>
      </c>
      <c r="E1475" s="6"/>
      <c r="F1475" s="3">
        <v>340</v>
      </c>
      <c r="G1475" s="3">
        <v>294666</v>
      </c>
    </row>
    <row r="1476" spans="1:7" x14ac:dyDescent="0.2">
      <c r="A1476" s="3">
        <v>2004</v>
      </c>
      <c r="B1476" s="3">
        <v>428</v>
      </c>
      <c r="C1476" s="3" t="str">
        <f>VLOOKUP(B1476, '[1]DAR area codes'!A:B,2,FALSE)</f>
        <v>oahu</v>
      </c>
      <c r="D1476" s="4">
        <v>1618</v>
      </c>
      <c r="E1476" s="6"/>
      <c r="F1476" s="3">
        <v>0</v>
      </c>
      <c r="G1476" s="3">
        <v>55795.5</v>
      </c>
    </row>
    <row r="1477" spans="1:7" x14ac:dyDescent="0.2">
      <c r="A1477" s="3">
        <v>2004</v>
      </c>
      <c r="B1477" s="3">
        <v>429</v>
      </c>
      <c r="C1477" s="3" t="str">
        <f>VLOOKUP(B1477, '[1]DAR area codes'!A:B,2,FALSE)</f>
        <v>oahu</v>
      </c>
      <c r="D1477" s="4">
        <v>2124.8000000000002</v>
      </c>
      <c r="E1477" s="6">
        <v>147</v>
      </c>
      <c r="F1477" s="3">
        <v>0</v>
      </c>
      <c r="G1477" s="3">
        <v>23265</v>
      </c>
    </row>
    <row r="1478" spans="1:7" x14ac:dyDescent="0.2">
      <c r="A1478" s="3">
        <v>2004</v>
      </c>
      <c r="B1478" s="3">
        <v>500</v>
      </c>
      <c r="C1478" s="3" t="str">
        <f>VLOOKUP(B1478, '[1]DAR area codes'!A:B,2,FALSE)</f>
        <v>kauai</v>
      </c>
      <c r="D1478" s="4">
        <v>925.6</v>
      </c>
      <c r="E1478" s="6">
        <v>4000.1</v>
      </c>
      <c r="F1478" s="3">
        <v>269549.30000000005</v>
      </c>
      <c r="G1478" s="3">
        <v>24764.5</v>
      </c>
    </row>
    <row r="1479" spans="1:7" x14ac:dyDescent="0.2">
      <c r="A1479" s="3">
        <v>2004</v>
      </c>
      <c r="B1479" s="3">
        <v>501</v>
      </c>
      <c r="C1479" s="3" t="str">
        <f>VLOOKUP(B1479, '[1]DAR area codes'!A:B,2,FALSE)</f>
        <v>kauai</v>
      </c>
      <c r="D1479" s="4">
        <v>387</v>
      </c>
      <c r="E1479" s="6">
        <v>3595.5</v>
      </c>
      <c r="F1479" s="3">
        <v>7351.7</v>
      </c>
      <c r="G1479" s="3">
        <v>6069.6</v>
      </c>
    </row>
    <row r="1480" spans="1:7" x14ac:dyDescent="0.2">
      <c r="A1480" s="3">
        <v>2004</v>
      </c>
      <c r="B1480" s="3">
        <v>502</v>
      </c>
      <c r="C1480" s="3" t="str">
        <f>VLOOKUP(B1480, '[1]DAR area codes'!A:B,2,FALSE)</f>
        <v>kauai</v>
      </c>
      <c r="E1480" s="6"/>
      <c r="F1480" s="3">
        <v>0</v>
      </c>
      <c r="G1480" s="3">
        <v>1339</v>
      </c>
    </row>
    <row r="1481" spans="1:7" x14ac:dyDescent="0.2">
      <c r="A1481" s="3">
        <v>2004</v>
      </c>
      <c r="B1481" s="3">
        <v>503</v>
      </c>
      <c r="C1481" s="3" t="str">
        <f>VLOOKUP(B1481, '[1]DAR area codes'!A:B,2,FALSE)</f>
        <v>kauai</v>
      </c>
      <c r="D1481" s="4">
        <v>324</v>
      </c>
      <c r="E1481" s="6">
        <v>1030.3</v>
      </c>
      <c r="F1481" s="3">
        <v>29891.4</v>
      </c>
      <c r="G1481" s="3">
        <v>12625.5</v>
      </c>
    </row>
    <row r="1482" spans="1:7" x14ac:dyDescent="0.2">
      <c r="A1482" s="3">
        <v>2004</v>
      </c>
      <c r="B1482" s="3">
        <v>504</v>
      </c>
      <c r="C1482" s="3" t="str">
        <f>VLOOKUP(B1482, '[1]DAR area codes'!A:B,2,FALSE)</f>
        <v>kauai</v>
      </c>
      <c r="D1482" s="4">
        <v>359.5</v>
      </c>
      <c r="E1482" s="6">
        <v>1333</v>
      </c>
      <c r="F1482" s="3">
        <v>28702.1</v>
      </c>
      <c r="G1482" s="3">
        <v>29999.4</v>
      </c>
    </row>
    <row r="1483" spans="1:7" x14ac:dyDescent="0.2">
      <c r="A1483" s="3">
        <v>2004</v>
      </c>
      <c r="B1483" s="3">
        <v>505</v>
      </c>
      <c r="C1483" s="3" t="str">
        <f>VLOOKUP(B1483, '[1]DAR area codes'!A:B,2,FALSE)</f>
        <v>kauai</v>
      </c>
      <c r="D1483" s="4">
        <v>1344</v>
      </c>
      <c r="E1483" s="6">
        <v>3153.1</v>
      </c>
      <c r="F1483" s="3">
        <v>1259.8</v>
      </c>
      <c r="G1483" s="3">
        <v>5444</v>
      </c>
    </row>
    <row r="1484" spans="1:7" x14ac:dyDescent="0.2">
      <c r="A1484" s="3">
        <v>2004</v>
      </c>
      <c r="B1484" s="3">
        <v>506</v>
      </c>
      <c r="C1484" s="3" t="str">
        <f>VLOOKUP(B1484, '[1]DAR area codes'!A:B,2,FALSE)</f>
        <v>kauai</v>
      </c>
      <c r="D1484" s="4">
        <v>3489.3</v>
      </c>
      <c r="E1484" s="6">
        <v>5170.1000000000004</v>
      </c>
      <c r="F1484" s="3">
        <v>99990.499999999985</v>
      </c>
      <c r="G1484" s="3">
        <v>21891.8</v>
      </c>
    </row>
    <row r="1485" spans="1:7" x14ac:dyDescent="0.2">
      <c r="A1485" s="3">
        <v>2004</v>
      </c>
      <c r="B1485" s="3">
        <v>507</v>
      </c>
      <c r="C1485" s="3" t="str">
        <f>VLOOKUP(B1485, '[1]DAR area codes'!A:B,2,FALSE)</f>
        <v>kauai</v>
      </c>
      <c r="E1485" s="6"/>
      <c r="F1485" s="3">
        <v>0</v>
      </c>
      <c r="G1485" s="3">
        <v>0</v>
      </c>
    </row>
    <row r="1486" spans="1:7" x14ac:dyDescent="0.2">
      <c r="A1486" s="3">
        <v>2004</v>
      </c>
      <c r="B1486" s="3">
        <v>508</v>
      </c>
      <c r="C1486" s="3" t="str">
        <f>VLOOKUP(B1486, '[1]DAR area codes'!A:B,2,FALSE)</f>
        <v>kauai</v>
      </c>
      <c r="E1486" s="6"/>
      <c r="F1486" s="3">
        <v>0</v>
      </c>
      <c r="G1486" s="3">
        <v>7847.5</v>
      </c>
    </row>
    <row r="1487" spans="1:7" x14ac:dyDescent="0.2">
      <c r="A1487" s="3">
        <v>2004</v>
      </c>
      <c r="B1487" s="3">
        <v>520</v>
      </c>
      <c r="C1487" s="3" t="str">
        <f>VLOOKUP(B1487, '[1]DAR area codes'!A:B,2,FALSE)</f>
        <v>kauai</v>
      </c>
      <c r="D1487" s="4">
        <v>543</v>
      </c>
      <c r="E1487" s="6">
        <v>1621.5</v>
      </c>
      <c r="F1487" s="3">
        <v>985.1</v>
      </c>
      <c r="G1487" s="3">
        <v>184755.1</v>
      </c>
    </row>
    <row r="1488" spans="1:7" x14ac:dyDescent="0.2">
      <c r="A1488" s="3">
        <v>2004</v>
      </c>
      <c r="B1488" s="3">
        <v>521</v>
      </c>
      <c r="C1488" s="3" t="str">
        <f>VLOOKUP(B1488, '[1]DAR area codes'!A:B,2,FALSE)</f>
        <v>kauai</v>
      </c>
      <c r="E1488" s="6"/>
      <c r="F1488" s="3">
        <v>0</v>
      </c>
      <c r="G1488" s="3">
        <v>5886.5</v>
      </c>
    </row>
    <row r="1489" spans="1:7" x14ac:dyDescent="0.2">
      <c r="A1489" s="3">
        <v>2004</v>
      </c>
      <c r="B1489" s="3">
        <v>522</v>
      </c>
      <c r="C1489" s="3" t="str">
        <f>VLOOKUP(B1489, '[1]DAR area codes'!A:B,2,FALSE)</f>
        <v>kauai</v>
      </c>
      <c r="E1489" s="6"/>
      <c r="F1489" s="3">
        <v>0</v>
      </c>
      <c r="G1489" s="3">
        <v>7120</v>
      </c>
    </row>
    <row r="1490" spans="1:7" x14ac:dyDescent="0.2">
      <c r="A1490" s="3">
        <v>2004</v>
      </c>
      <c r="B1490" s="3">
        <v>523</v>
      </c>
      <c r="C1490" s="3" t="str">
        <f>VLOOKUP(B1490, '[1]DAR area codes'!A:B,2,FALSE)</f>
        <v>kauai</v>
      </c>
      <c r="E1490" s="6"/>
      <c r="F1490" s="3">
        <v>0</v>
      </c>
      <c r="G1490" s="3">
        <v>29164.7</v>
      </c>
    </row>
    <row r="1491" spans="1:7" x14ac:dyDescent="0.2">
      <c r="A1491" s="3">
        <v>2004</v>
      </c>
      <c r="B1491" s="3">
        <v>524</v>
      </c>
      <c r="C1491" s="3" t="str">
        <f>VLOOKUP(B1491, '[1]DAR area codes'!A:B,2,FALSE)</f>
        <v>kauai</v>
      </c>
      <c r="E1491" s="6">
        <v>1100.8</v>
      </c>
      <c r="F1491" s="3">
        <v>67</v>
      </c>
      <c r="G1491" s="3">
        <v>95107.9</v>
      </c>
    </row>
    <row r="1492" spans="1:7" x14ac:dyDescent="0.2">
      <c r="A1492" s="3">
        <v>2004</v>
      </c>
      <c r="B1492" s="3">
        <v>525</v>
      </c>
      <c r="C1492" s="3" t="str">
        <f>VLOOKUP(B1492, '[1]DAR area codes'!A:B,2,FALSE)</f>
        <v>kauai</v>
      </c>
      <c r="E1492" s="6"/>
      <c r="F1492" s="3">
        <v>0</v>
      </c>
      <c r="G1492" s="3">
        <v>1118.2</v>
      </c>
    </row>
    <row r="1493" spans="1:7" x14ac:dyDescent="0.2">
      <c r="A1493" s="3">
        <v>2004</v>
      </c>
      <c r="B1493" s="3">
        <v>526</v>
      </c>
      <c r="C1493" s="3" t="str">
        <f>VLOOKUP(B1493, '[1]DAR area codes'!A:B,2,FALSE)</f>
        <v>kauai</v>
      </c>
      <c r="E1493" s="6"/>
      <c r="F1493" s="3">
        <v>0</v>
      </c>
      <c r="G1493" s="3">
        <v>0</v>
      </c>
    </row>
    <row r="1494" spans="1:7" x14ac:dyDescent="0.2">
      <c r="A1494" s="3">
        <v>2004</v>
      </c>
      <c r="B1494" s="3">
        <v>527</v>
      </c>
      <c r="C1494" s="3" t="str">
        <f>VLOOKUP(B1494, '[1]DAR area codes'!A:B,2,FALSE)</f>
        <v>kauai</v>
      </c>
      <c r="E1494" s="6"/>
      <c r="F1494" s="3">
        <v>0</v>
      </c>
      <c r="G1494" s="3">
        <v>0</v>
      </c>
    </row>
    <row r="1495" spans="1:7" x14ac:dyDescent="0.2">
      <c r="A1495" s="3">
        <v>2004</v>
      </c>
      <c r="B1495" s="3">
        <v>528</v>
      </c>
      <c r="C1495" s="3" t="str">
        <f>VLOOKUP(B1495, '[1]DAR area codes'!A:B,2,FALSE)</f>
        <v>kauai</v>
      </c>
      <c r="D1495" s="4">
        <v>2062.9</v>
      </c>
      <c r="E1495" s="6">
        <v>919</v>
      </c>
      <c r="F1495" s="3">
        <v>0</v>
      </c>
      <c r="G1495" s="3">
        <v>6822.5</v>
      </c>
    </row>
    <row r="1496" spans="1:7" x14ac:dyDescent="0.2">
      <c r="A1496" s="3">
        <v>2003</v>
      </c>
      <c r="B1496" s="3">
        <v>100</v>
      </c>
      <c r="C1496" s="3" t="str">
        <f>VLOOKUP(B1496, '[1]DAR area codes'!A:B,2,FALSE)</f>
        <v>hawaii</v>
      </c>
      <c r="D1496" s="4">
        <v>271.5</v>
      </c>
      <c r="E1496" s="6"/>
      <c r="F1496" s="3">
        <v>1012.5</v>
      </c>
      <c r="G1496" s="3">
        <v>69364.399999999994</v>
      </c>
    </row>
    <row r="1497" spans="1:7" x14ac:dyDescent="0.2">
      <c r="A1497" s="3">
        <v>2003</v>
      </c>
      <c r="B1497" s="3">
        <v>101</v>
      </c>
      <c r="C1497" s="3" t="str">
        <f>VLOOKUP(B1497, '[1]DAR area codes'!A:B,2,FALSE)</f>
        <v>hawaii</v>
      </c>
      <c r="D1497" s="4">
        <v>1371.1</v>
      </c>
      <c r="E1497" s="6">
        <v>297</v>
      </c>
      <c r="F1497" s="3">
        <v>197852.69999999998</v>
      </c>
      <c r="G1497" s="3">
        <v>196075.90000000002</v>
      </c>
    </row>
    <row r="1498" spans="1:7" x14ac:dyDescent="0.2">
      <c r="A1498" s="3">
        <v>2003</v>
      </c>
      <c r="B1498" s="3">
        <v>102</v>
      </c>
      <c r="C1498" s="3" t="str">
        <f>VLOOKUP(B1498, '[1]DAR area codes'!A:B,2,FALSE)</f>
        <v>hawaii</v>
      </c>
      <c r="D1498" s="4">
        <v>3690.7</v>
      </c>
      <c r="E1498" s="6">
        <v>1563.1</v>
      </c>
      <c r="F1498" s="3">
        <v>3783.1</v>
      </c>
      <c r="G1498" s="3">
        <v>57791.600000000006</v>
      </c>
    </row>
    <row r="1499" spans="1:7" x14ac:dyDescent="0.2">
      <c r="A1499" s="3">
        <v>2003</v>
      </c>
      <c r="B1499" s="3">
        <v>103</v>
      </c>
      <c r="C1499" s="3" t="str">
        <f>VLOOKUP(B1499, '[1]DAR area codes'!A:B,2,FALSE)</f>
        <v>hawaii</v>
      </c>
      <c r="D1499" s="4">
        <v>4481.3</v>
      </c>
      <c r="E1499" s="6">
        <v>369.5</v>
      </c>
      <c r="F1499" s="3">
        <v>4381.6000000000004</v>
      </c>
      <c r="G1499" s="3">
        <v>15525.5</v>
      </c>
    </row>
    <row r="1500" spans="1:7" x14ac:dyDescent="0.2">
      <c r="A1500" s="3">
        <v>2003</v>
      </c>
      <c r="B1500" s="3">
        <v>104</v>
      </c>
      <c r="C1500" s="3" t="str">
        <f>VLOOKUP(B1500, '[1]DAR area codes'!A:B,2,FALSE)</f>
        <v>hawaii</v>
      </c>
      <c r="D1500" s="4">
        <v>2640</v>
      </c>
      <c r="E1500" s="6">
        <v>623</v>
      </c>
      <c r="F1500" s="3">
        <v>1159.9000000000001</v>
      </c>
      <c r="G1500" s="3">
        <v>7849</v>
      </c>
    </row>
    <row r="1501" spans="1:7" x14ac:dyDescent="0.2">
      <c r="A1501" s="3">
        <v>2003</v>
      </c>
      <c r="B1501" s="3">
        <v>105</v>
      </c>
      <c r="C1501" s="3" t="str">
        <f>VLOOKUP(B1501, '[1]DAR area codes'!A:B,2,FALSE)</f>
        <v>hawaii</v>
      </c>
      <c r="D1501" s="4">
        <v>2664.5</v>
      </c>
      <c r="E1501" s="6">
        <v>448</v>
      </c>
      <c r="F1501" s="3">
        <v>20644.900000000001</v>
      </c>
      <c r="G1501" s="3">
        <v>6877.5</v>
      </c>
    </row>
    <row r="1502" spans="1:7" x14ac:dyDescent="0.2">
      <c r="A1502" s="3">
        <v>2003</v>
      </c>
      <c r="B1502" s="3">
        <v>106</v>
      </c>
      <c r="C1502" s="3" t="str">
        <f>VLOOKUP(B1502, '[1]DAR area codes'!A:B,2,FALSE)</f>
        <v>hawaii</v>
      </c>
      <c r="D1502" s="4">
        <v>1005.5</v>
      </c>
      <c r="E1502" s="6">
        <v>713</v>
      </c>
      <c r="F1502" s="3">
        <v>9128.5</v>
      </c>
      <c r="G1502" s="3">
        <v>121405</v>
      </c>
    </row>
    <row r="1503" spans="1:7" x14ac:dyDescent="0.2">
      <c r="A1503" s="3">
        <v>2003</v>
      </c>
      <c r="B1503" s="3">
        <v>107</v>
      </c>
      <c r="C1503" s="3" t="str">
        <f>VLOOKUP(B1503, '[1]DAR area codes'!A:B,2,FALSE)</f>
        <v>hawaii</v>
      </c>
      <c r="D1503" s="4">
        <v>367.5</v>
      </c>
      <c r="E1503" s="6">
        <v>431.5</v>
      </c>
      <c r="F1503" s="3">
        <v>6174</v>
      </c>
      <c r="G1503" s="3">
        <v>28764</v>
      </c>
    </row>
    <row r="1504" spans="1:7" x14ac:dyDescent="0.2">
      <c r="A1504" s="3">
        <v>2003</v>
      </c>
      <c r="B1504" s="3">
        <v>108</v>
      </c>
      <c r="C1504" s="3" t="str">
        <f>VLOOKUP(B1504, '[1]DAR area codes'!A:B,2,FALSE)</f>
        <v>hawaii</v>
      </c>
      <c r="D1504" s="4">
        <v>4976.5</v>
      </c>
      <c r="E1504" s="6">
        <v>687</v>
      </c>
      <c r="F1504" s="3">
        <v>639.6</v>
      </c>
      <c r="G1504" s="3">
        <v>17414.400000000001</v>
      </c>
    </row>
    <row r="1505" spans="1:7" x14ac:dyDescent="0.2">
      <c r="A1505" s="3">
        <v>2003</v>
      </c>
      <c r="B1505" s="3">
        <v>120</v>
      </c>
      <c r="C1505" s="3" t="str">
        <f>VLOOKUP(B1505, '[1]DAR area codes'!A:B,2,FALSE)</f>
        <v>hawaii</v>
      </c>
      <c r="D1505" s="4">
        <v>1474.1</v>
      </c>
      <c r="E1505" s="6">
        <v>348</v>
      </c>
      <c r="F1505" s="3">
        <v>0</v>
      </c>
      <c r="G1505" s="3">
        <v>70966.3</v>
      </c>
    </row>
    <row r="1506" spans="1:7" x14ac:dyDescent="0.2">
      <c r="A1506" s="3">
        <v>2003</v>
      </c>
      <c r="B1506" s="3">
        <v>121</v>
      </c>
      <c r="C1506" s="3" t="str">
        <f>VLOOKUP(B1506, '[1]DAR area codes'!A:B,2,FALSE)</f>
        <v>hawaii</v>
      </c>
      <c r="D1506" s="4">
        <v>5864.7</v>
      </c>
      <c r="E1506" s="6">
        <v>1215.4000000000001</v>
      </c>
      <c r="F1506" s="3">
        <v>30727.3</v>
      </c>
      <c r="G1506" s="3">
        <v>679924.4</v>
      </c>
    </row>
    <row r="1507" spans="1:7" x14ac:dyDescent="0.2">
      <c r="A1507" s="3">
        <v>2003</v>
      </c>
      <c r="B1507" s="3">
        <v>122</v>
      </c>
      <c r="C1507" s="3" t="str">
        <f>VLOOKUP(B1507, '[1]DAR area codes'!A:B,2,FALSE)</f>
        <v>hawaii</v>
      </c>
      <c r="D1507" s="4">
        <v>9818.1</v>
      </c>
      <c r="E1507" s="6">
        <v>1251.5999999999999</v>
      </c>
      <c r="F1507" s="3">
        <v>1028</v>
      </c>
      <c r="G1507" s="3">
        <v>59304.6</v>
      </c>
    </row>
    <row r="1508" spans="1:7" x14ac:dyDescent="0.2">
      <c r="A1508" s="3">
        <v>2003</v>
      </c>
      <c r="B1508" s="3">
        <v>123</v>
      </c>
      <c r="C1508" s="3" t="str">
        <f>VLOOKUP(B1508, '[1]DAR area codes'!A:B,2,FALSE)</f>
        <v>hawaii</v>
      </c>
      <c r="D1508" s="4">
        <v>1846.5</v>
      </c>
      <c r="E1508" s="6"/>
      <c r="F1508" s="3">
        <v>0</v>
      </c>
      <c r="G1508" s="3">
        <v>12693</v>
      </c>
    </row>
    <row r="1509" spans="1:7" x14ac:dyDescent="0.2">
      <c r="A1509" s="3">
        <v>2003</v>
      </c>
      <c r="B1509" s="3">
        <v>124</v>
      </c>
      <c r="C1509" s="3" t="str">
        <f>VLOOKUP(B1509, '[1]DAR area codes'!A:B,2,FALSE)</f>
        <v>hawaii</v>
      </c>
      <c r="E1509" s="6"/>
      <c r="F1509" s="3">
        <v>0</v>
      </c>
      <c r="G1509" s="3">
        <v>63972</v>
      </c>
    </row>
    <row r="1510" spans="1:7" x14ac:dyDescent="0.2">
      <c r="A1510" s="3">
        <v>2003</v>
      </c>
      <c r="B1510" s="3">
        <v>125</v>
      </c>
      <c r="C1510" s="3" t="str">
        <f>VLOOKUP(B1510, '[1]DAR area codes'!A:B,2,FALSE)</f>
        <v>hawaii</v>
      </c>
      <c r="D1510" s="4">
        <v>2426.5</v>
      </c>
      <c r="E1510" s="6">
        <v>709.6</v>
      </c>
      <c r="F1510" s="3">
        <v>3965.2</v>
      </c>
      <c r="G1510" s="3">
        <v>211862.6</v>
      </c>
    </row>
    <row r="1511" spans="1:7" x14ac:dyDescent="0.2">
      <c r="A1511" s="3">
        <v>2003</v>
      </c>
      <c r="B1511" s="3">
        <v>126</v>
      </c>
      <c r="C1511" s="3" t="str">
        <f>VLOOKUP(B1511, '[1]DAR area codes'!A:B,2,FALSE)</f>
        <v>hawaii</v>
      </c>
      <c r="D1511" s="4">
        <v>613.5</v>
      </c>
      <c r="E1511" s="6">
        <v>620.5</v>
      </c>
      <c r="F1511" s="3">
        <v>0</v>
      </c>
      <c r="G1511" s="3">
        <v>153945.79999999999</v>
      </c>
    </row>
    <row r="1512" spans="1:7" x14ac:dyDescent="0.2">
      <c r="A1512" s="3">
        <v>2003</v>
      </c>
      <c r="B1512" s="3">
        <v>127</v>
      </c>
      <c r="C1512" s="3" t="str">
        <f>VLOOKUP(B1512, '[1]DAR area codes'!A:B,2,FALSE)</f>
        <v>hawaii</v>
      </c>
      <c r="D1512" s="4">
        <v>883.3</v>
      </c>
      <c r="E1512" s="6"/>
      <c r="F1512" s="3">
        <v>0</v>
      </c>
      <c r="G1512" s="3">
        <v>90553.5</v>
      </c>
    </row>
    <row r="1513" spans="1:7" x14ac:dyDescent="0.2">
      <c r="A1513" s="3">
        <v>2003</v>
      </c>
      <c r="B1513" s="3">
        <v>128</v>
      </c>
      <c r="C1513" s="3" t="str">
        <f>VLOOKUP(B1513, '[1]DAR area codes'!A:B,2,FALSE)</f>
        <v>hawaii</v>
      </c>
      <c r="E1513" s="6"/>
      <c r="F1513" s="3">
        <v>0</v>
      </c>
      <c r="G1513" s="3">
        <v>539</v>
      </c>
    </row>
    <row r="1514" spans="1:7" x14ac:dyDescent="0.2">
      <c r="A1514" s="3">
        <v>2003</v>
      </c>
      <c r="B1514" s="3">
        <v>300</v>
      </c>
      <c r="C1514" s="3" t="str">
        <f>VLOOKUP(B1514, '[1]DAR area codes'!A:B,2,FALSE)</f>
        <v>maui</v>
      </c>
      <c r="E1514" s="6">
        <v>2415.6999999999998</v>
      </c>
      <c r="F1514" s="3">
        <v>79858.299999999988</v>
      </c>
      <c r="G1514" s="3">
        <v>1800</v>
      </c>
    </row>
    <row r="1515" spans="1:7" x14ac:dyDescent="0.2">
      <c r="A1515" s="3">
        <v>2003</v>
      </c>
      <c r="B1515" s="3">
        <v>301</v>
      </c>
      <c r="C1515" s="3" t="str">
        <f>VLOOKUP(B1515, '[1]DAR area codes'!A:B,2,FALSE)</f>
        <v>maui</v>
      </c>
      <c r="E1515" s="6">
        <v>444</v>
      </c>
      <c r="F1515" s="3">
        <v>3729.4</v>
      </c>
      <c r="G1515" s="3">
        <v>133</v>
      </c>
    </row>
    <row r="1516" spans="1:7" x14ac:dyDescent="0.2">
      <c r="A1516" s="3">
        <v>2003</v>
      </c>
      <c r="B1516" s="3">
        <v>302</v>
      </c>
      <c r="C1516" s="3" t="str">
        <f>VLOOKUP(B1516, '[1]DAR area codes'!A:B,2,FALSE)</f>
        <v>maui</v>
      </c>
      <c r="D1516" s="4">
        <v>1293.2</v>
      </c>
      <c r="E1516" s="6">
        <v>239.1</v>
      </c>
      <c r="F1516" s="3">
        <v>27762.399999999998</v>
      </c>
      <c r="G1516" s="3">
        <v>3208.4</v>
      </c>
    </row>
    <row r="1517" spans="1:7" x14ac:dyDescent="0.2">
      <c r="A1517" s="3">
        <v>2003</v>
      </c>
      <c r="B1517" s="3">
        <v>303</v>
      </c>
      <c r="C1517" s="3" t="str">
        <f>VLOOKUP(B1517, '[1]DAR area codes'!A:B,2,FALSE)</f>
        <v>maui</v>
      </c>
      <c r="D1517" s="4">
        <v>2118.6</v>
      </c>
      <c r="E1517" s="6">
        <v>1176.4000000000001</v>
      </c>
      <c r="F1517" s="3">
        <v>4954.3999999999996</v>
      </c>
      <c r="G1517" s="3">
        <v>9892.2000000000007</v>
      </c>
    </row>
    <row r="1518" spans="1:7" x14ac:dyDescent="0.2">
      <c r="A1518" s="3">
        <v>2003</v>
      </c>
      <c r="B1518" s="3">
        <v>304</v>
      </c>
      <c r="C1518" s="3" t="str">
        <f>VLOOKUP(B1518, '[1]DAR area codes'!A:B,2,FALSE)</f>
        <v>maui</v>
      </c>
      <c r="D1518" s="4">
        <v>2183.4</v>
      </c>
      <c r="E1518" s="6">
        <v>498.3</v>
      </c>
      <c r="F1518" s="3">
        <v>122.4</v>
      </c>
      <c r="G1518" s="3">
        <v>2131.5</v>
      </c>
    </row>
    <row r="1519" spans="1:7" x14ac:dyDescent="0.2">
      <c r="A1519" s="3">
        <v>2003</v>
      </c>
      <c r="B1519" s="3">
        <v>305</v>
      </c>
      <c r="C1519" s="3" t="str">
        <f>VLOOKUP(B1519, '[1]DAR area codes'!A:B,2,FALSE)</f>
        <v>maui</v>
      </c>
      <c r="D1519" s="4">
        <v>12448.3</v>
      </c>
      <c r="E1519" s="6">
        <v>1733.6</v>
      </c>
      <c r="F1519" s="3">
        <v>36269.299999999996</v>
      </c>
      <c r="G1519" s="3">
        <v>10198.800000000001</v>
      </c>
    </row>
    <row r="1520" spans="1:7" x14ac:dyDescent="0.2">
      <c r="A1520" s="3">
        <v>2003</v>
      </c>
      <c r="B1520" s="3">
        <v>306</v>
      </c>
      <c r="C1520" s="3" t="str">
        <f>VLOOKUP(B1520, '[1]DAR area codes'!A:B,2,FALSE)</f>
        <v>maui</v>
      </c>
      <c r="D1520" s="4">
        <v>699.2</v>
      </c>
      <c r="E1520" s="6"/>
      <c r="F1520" s="3">
        <v>0</v>
      </c>
      <c r="G1520" s="3">
        <v>24926.7</v>
      </c>
    </row>
    <row r="1521" spans="1:7" x14ac:dyDescent="0.2">
      <c r="A1521" s="3">
        <v>2003</v>
      </c>
      <c r="B1521" s="3">
        <v>307</v>
      </c>
      <c r="C1521" s="3" t="str">
        <f>VLOOKUP(B1521, '[1]DAR area codes'!A:B,2,FALSE)</f>
        <v>maui</v>
      </c>
      <c r="D1521" s="4">
        <v>674.3</v>
      </c>
      <c r="E1521" s="6">
        <v>292</v>
      </c>
      <c r="F1521" s="3">
        <v>0</v>
      </c>
      <c r="G1521" s="3">
        <v>1648.4</v>
      </c>
    </row>
    <row r="1522" spans="1:7" x14ac:dyDescent="0.2">
      <c r="A1522" s="3">
        <v>2003</v>
      </c>
      <c r="B1522" s="3">
        <v>308</v>
      </c>
      <c r="C1522" s="3" t="str">
        <f>VLOOKUP(B1522, '[1]DAR area codes'!A:B,2,FALSE)</f>
        <v>maui</v>
      </c>
      <c r="D1522" s="4">
        <v>2740.5</v>
      </c>
      <c r="E1522" s="6">
        <v>1686.1</v>
      </c>
      <c r="F1522" s="3">
        <v>6994.9</v>
      </c>
      <c r="G1522" s="3">
        <v>18261.2</v>
      </c>
    </row>
    <row r="1523" spans="1:7" x14ac:dyDescent="0.2">
      <c r="A1523" s="3">
        <v>2003</v>
      </c>
      <c r="B1523" s="3">
        <v>309</v>
      </c>
      <c r="C1523" s="3" t="str">
        <f>VLOOKUP(B1523, '[1]DAR area codes'!A:B,2,FALSE)</f>
        <v>maui</v>
      </c>
      <c r="E1523" s="6"/>
      <c r="F1523" s="3">
        <v>375</v>
      </c>
      <c r="G1523" s="3">
        <v>774</v>
      </c>
    </row>
    <row r="1524" spans="1:7" x14ac:dyDescent="0.2">
      <c r="A1524" s="3">
        <v>2003</v>
      </c>
      <c r="B1524" s="3">
        <v>310</v>
      </c>
      <c r="C1524" s="3" t="str">
        <f>VLOOKUP(B1524, '[1]DAR area codes'!A:B,2,FALSE)</f>
        <v>maui</v>
      </c>
      <c r="D1524" s="4">
        <v>551.5</v>
      </c>
      <c r="E1524" s="6"/>
      <c r="F1524" s="3">
        <v>1766.1999999999998</v>
      </c>
      <c r="G1524" s="3">
        <v>621.6</v>
      </c>
    </row>
    <row r="1525" spans="1:7" x14ac:dyDescent="0.2">
      <c r="A1525" s="3">
        <v>2003</v>
      </c>
      <c r="B1525" s="3">
        <v>311</v>
      </c>
      <c r="C1525" s="3" t="str">
        <f>VLOOKUP(B1525, '[1]DAR area codes'!A:B,2,FALSE)</f>
        <v>maui</v>
      </c>
      <c r="E1525" s="6"/>
      <c r="F1525" s="3">
        <v>395</v>
      </c>
      <c r="G1525" s="3">
        <v>305.8</v>
      </c>
    </row>
    <row r="1526" spans="1:7" x14ac:dyDescent="0.2">
      <c r="A1526" s="3">
        <v>2003</v>
      </c>
      <c r="B1526" s="3">
        <v>312</v>
      </c>
      <c r="C1526" s="3" t="str">
        <f>VLOOKUP(B1526, '[1]DAR area codes'!A:B,2,FALSE)</f>
        <v>maui</v>
      </c>
      <c r="D1526" s="4">
        <v>888.8</v>
      </c>
      <c r="E1526" s="6">
        <v>227</v>
      </c>
      <c r="F1526" s="3">
        <v>1437.8999999999999</v>
      </c>
      <c r="G1526" s="3">
        <v>1123.4000000000001</v>
      </c>
    </row>
    <row r="1527" spans="1:7" x14ac:dyDescent="0.2">
      <c r="A1527" s="3">
        <v>2003</v>
      </c>
      <c r="B1527" s="3">
        <v>313</v>
      </c>
      <c r="C1527" s="3" t="str">
        <f>VLOOKUP(B1527, '[1]DAR area codes'!A:B,2,FALSE)</f>
        <v>maui</v>
      </c>
      <c r="D1527" s="4">
        <v>14169.3</v>
      </c>
      <c r="E1527" s="6">
        <v>603.9</v>
      </c>
      <c r="F1527" s="3">
        <v>62</v>
      </c>
      <c r="G1527" s="3">
        <v>4255.6000000000004</v>
      </c>
    </row>
    <row r="1528" spans="1:7" x14ac:dyDescent="0.2">
      <c r="A1528" s="3">
        <v>2003</v>
      </c>
      <c r="B1528" s="3">
        <v>314</v>
      </c>
      <c r="C1528" s="3" t="str">
        <f>VLOOKUP(B1528, '[1]DAR area codes'!A:B,2,FALSE)</f>
        <v>maui</v>
      </c>
      <c r="E1528" s="6">
        <v>440.7</v>
      </c>
      <c r="F1528" s="3">
        <v>16</v>
      </c>
      <c r="G1528" s="3">
        <v>2210.6999999999998</v>
      </c>
    </row>
    <row r="1529" spans="1:7" x14ac:dyDescent="0.2">
      <c r="A1529" s="3">
        <v>2003</v>
      </c>
      <c r="B1529" s="3">
        <v>320</v>
      </c>
      <c r="C1529" s="3" t="str">
        <f>VLOOKUP(B1529, '[1]DAR area codes'!A:B,2,FALSE)</f>
        <v>maui</v>
      </c>
      <c r="D1529" s="4">
        <v>21931.9</v>
      </c>
      <c r="E1529" s="6">
        <v>2984.8</v>
      </c>
      <c r="F1529" s="3">
        <v>7264.8000000000011</v>
      </c>
      <c r="G1529" s="3">
        <v>20619.8</v>
      </c>
    </row>
    <row r="1530" spans="1:7" x14ac:dyDescent="0.2">
      <c r="A1530" s="3">
        <v>2003</v>
      </c>
      <c r="B1530" s="3">
        <v>321</v>
      </c>
      <c r="C1530" s="3" t="str">
        <f>VLOOKUP(B1530, '[1]DAR area codes'!A:B,2,FALSE)</f>
        <v>maui</v>
      </c>
      <c r="D1530" s="4">
        <v>10753.4</v>
      </c>
      <c r="E1530" s="6">
        <v>1673.5</v>
      </c>
      <c r="F1530" s="3">
        <v>4142.1000000000004</v>
      </c>
      <c r="G1530" s="3">
        <v>2258.6</v>
      </c>
    </row>
    <row r="1531" spans="1:7" x14ac:dyDescent="0.2">
      <c r="A1531" s="3">
        <v>2003</v>
      </c>
      <c r="B1531" s="3">
        <v>322</v>
      </c>
      <c r="C1531" s="3" t="str">
        <f>VLOOKUP(B1531, '[1]DAR area codes'!A:B,2,FALSE)</f>
        <v>maui</v>
      </c>
      <c r="D1531" s="4">
        <v>3556.4</v>
      </c>
      <c r="E1531" s="6"/>
      <c r="F1531" s="3">
        <v>0</v>
      </c>
      <c r="G1531" s="3">
        <v>3145.1</v>
      </c>
    </row>
    <row r="1532" spans="1:7" x14ac:dyDescent="0.2">
      <c r="A1532" s="3">
        <v>2003</v>
      </c>
      <c r="B1532" s="3">
        <v>323</v>
      </c>
      <c r="C1532" s="3" t="str">
        <f>VLOOKUP(B1532, '[1]DAR area codes'!A:B,2,FALSE)</f>
        <v>maui</v>
      </c>
      <c r="D1532" s="4">
        <v>990.1</v>
      </c>
      <c r="E1532" s="6"/>
      <c r="F1532" s="3">
        <v>0</v>
      </c>
      <c r="G1532" s="3">
        <v>85961.1</v>
      </c>
    </row>
    <row r="1533" spans="1:7" x14ac:dyDescent="0.2">
      <c r="A1533" s="3">
        <v>2003</v>
      </c>
      <c r="B1533" s="3">
        <v>324</v>
      </c>
      <c r="C1533" s="3" t="str">
        <f>VLOOKUP(B1533, '[1]DAR area codes'!A:B,2,FALSE)</f>
        <v>maui</v>
      </c>
      <c r="D1533" s="4">
        <v>1129.5</v>
      </c>
      <c r="E1533" s="6"/>
      <c r="F1533" s="3">
        <v>0</v>
      </c>
      <c r="G1533" s="3">
        <v>22372.1</v>
      </c>
    </row>
    <row r="1534" spans="1:7" x14ac:dyDescent="0.2">
      <c r="A1534" s="3">
        <v>2003</v>
      </c>
      <c r="B1534" s="3">
        <v>325</v>
      </c>
      <c r="C1534" s="3" t="str">
        <f>VLOOKUP(B1534, '[1]DAR area codes'!A:B,2,FALSE)</f>
        <v>maui</v>
      </c>
      <c r="D1534" s="4">
        <v>1019.5</v>
      </c>
      <c r="E1534" s="6"/>
      <c r="F1534" s="3">
        <v>0</v>
      </c>
      <c r="G1534" s="3">
        <v>2837.3</v>
      </c>
    </row>
    <row r="1535" spans="1:7" x14ac:dyDescent="0.2">
      <c r="A1535" s="3">
        <v>2003</v>
      </c>
      <c r="B1535" s="3">
        <v>326</v>
      </c>
      <c r="C1535" s="3" t="str">
        <f>VLOOKUP(B1535, '[1]DAR area codes'!A:B,2,FALSE)</f>
        <v>maui</v>
      </c>
      <c r="E1535" s="6"/>
      <c r="F1535" s="3">
        <v>0</v>
      </c>
      <c r="G1535" s="3">
        <v>20688.8</v>
      </c>
    </row>
    <row r="1536" spans="1:7" x14ac:dyDescent="0.2">
      <c r="A1536" s="3">
        <v>2003</v>
      </c>
      <c r="B1536" s="3">
        <v>327</v>
      </c>
      <c r="C1536" s="3" t="str">
        <f>VLOOKUP(B1536, '[1]DAR area codes'!A:B,2,FALSE)</f>
        <v>maui</v>
      </c>
      <c r="D1536" s="4">
        <v>22275.5</v>
      </c>
      <c r="E1536" s="6">
        <v>933.6</v>
      </c>
      <c r="F1536" s="3">
        <v>17.5</v>
      </c>
      <c r="G1536" s="3">
        <v>15050.199999999999</v>
      </c>
    </row>
    <row r="1537" spans="1:7" x14ac:dyDescent="0.2">
      <c r="A1537" s="3">
        <v>2003</v>
      </c>
      <c r="B1537" s="3">
        <v>328</v>
      </c>
      <c r="C1537" s="3" t="str">
        <f>VLOOKUP(B1537, '[1]DAR area codes'!A:B,2,FALSE)</f>
        <v>maui</v>
      </c>
      <c r="D1537" s="4">
        <v>2254</v>
      </c>
      <c r="E1537" s="6"/>
      <c r="F1537" s="3">
        <v>0</v>
      </c>
      <c r="G1537" s="3">
        <v>32602.9</v>
      </c>
    </row>
    <row r="1538" spans="1:7" x14ac:dyDescent="0.2">
      <c r="A1538" s="3">
        <v>2003</v>
      </c>
      <c r="B1538" s="3">
        <v>331</v>
      </c>
      <c r="C1538" s="3" t="str">
        <f>VLOOKUP(B1538, '[1]DAR area codes'!A:B,2,FALSE)</f>
        <v>maui</v>
      </c>
      <c r="D1538" s="4">
        <v>30616.5</v>
      </c>
      <c r="E1538" s="6">
        <v>17097.2</v>
      </c>
      <c r="F1538" s="3">
        <v>376</v>
      </c>
      <c r="G1538" s="3">
        <v>43626.3</v>
      </c>
    </row>
    <row r="1539" spans="1:7" x14ac:dyDescent="0.2">
      <c r="A1539" s="3">
        <v>2003</v>
      </c>
      <c r="B1539" s="3">
        <v>332</v>
      </c>
      <c r="C1539" s="3" t="str">
        <f>VLOOKUP(B1539, '[1]DAR area codes'!A:B,2,FALSE)</f>
        <v>maui</v>
      </c>
      <c r="E1539" s="6"/>
      <c r="F1539" s="3">
        <v>0</v>
      </c>
      <c r="G1539" s="3">
        <v>19360</v>
      </c>
    </row>
    <row r="1540" spans="1:7" x14ac:dyDescent="0.2">
      <c r="A1540" s="3">
        <v>2003</v>
      </c>
      <c r="B1540" s="3">
        <v>333</v>
      </c>
      <c r="C1540" s="3" t="str">
        <f>VLOOKUP(B1540, '[1]DAR area codes'!A:B,2,FALSE)</f>
        <v>maui</v>
      </c>
      <c r="E1540" s="6"/>
      <c r="F1540" s="3">
        <v>0</v>
      </c>
      <c r="G1540" s="3">
        <v>1615</v>
      </c>
    </row>
    <row r="1541" spans="1:7" x14ac:dyDescent="0.2">
      <c r="A1541" s="3">
        <v>2003</v>
      </c>
      <c r="B1541" s="3">
        <v>400</v>
      </c>
      <c r="C1541" s="3" t="str">
        <f>VLOOKUP(B1541, '[1]DAR area codes'!A:B,2,FALSE)</f>
        <v>oahu</v>
      </c>
      <c r="D1541" s="4">
        <v>135.30000000000001</v>
      </c>
      <c r="E1541" s="6"/>
      <c r="F1541" s="3">
        <v>23036.6</v>
      </c>
      <c r="G1541" s="3">
        <v>392.4</v>
      </c>
    </row>
    <row r="1542" spans="1:7" x14ac:dyDescent="0.2">
      <c r="A1542" s="3">
        <v>2003</v>
      </c>
      <c r="B1542" s="3">
        <v>401</v>
      </c>
      <c r="C1542" s="3" t="str">
        <f>VLOOKUP(B1542, '[1]DAR area codes'!A:B,2,FALSE)</f>
        <v>oahu</v>
      </c>
      <c r="D1542" s="4">
        <v>324</v>
      </c>
      <c r="E1542" s="6"/>
      <c r="F1542" s="3">
        <v>65514.9</v>
      </c>
      <c r="G1542" s="3">
        <v>2368</v>
      </c>
    </row>
    <row r="1543" spans="1:7" x14ac:dyDescent="0.2">
      <c r="A1543" s="3">
        <v>2003</v>
      </c>
      <c r="B1543" s="3">
        <v>402</v>
      </c>
      <c r="C1543" s="3" t="str">
        <f>VLOOKUP(B1543, '[1]DAR area codes'!A:B,2,FALSE)</f>
        <v>oahu</v>
      </c>
      <c r="D1543" s="4">
        <v>75.59999999999998</v>
      </c>
      <c r="E1543" s="6">
        <v>13940.6</v>
      </c>
      <c r="F1543" s="3">
        <v>80113.900000000009</v>
      </c>
      <c r="G1543" s="3">
        <v>13928.900000000001</v>
      </c>
    </row>
    <row r="1544" spans="1:7" x14ac:dyDescent="0.2">
      <c r="A1544" s="3">
        <v>2003</v>
      </c>
      <c r="B1544" s="3">
        <v>403</v>
      </c>
      <c r="C1544" s="3" t="str">
        <f>VLOOKUP(B1544, '[1]DAR area codes'!A:B,2,FALSE)</f>
        <v>oahu</v>
      </c>
      <c r="D1544" s="4">
        <v>796.5</v>
      </c>
      <c r="E1544" s="6">
        <v>5067.8</v>
      </c>
      <c r="F1544" s="3">
        <v>99605.759999999995</v>
      </c>
      <c r="G1544" s="3">
        <v>41707.300000000003</v>
      </c>
    </row>
    <row r="1545" spans="1:7" x14ac:dyDescent="0.2">
      <c r="A1545" s="3">
        <v>2003</v>
      </c>
      <c r="B1545" s="3">
        <v>404</v>
      </c>
      <c r="C1545" s="3" t="str">
        <f>VLOOKUP(B1545, '[1]DAR area codes'!A:B,2,FALSE)</f>
        <v>oahu</v>
      </c>
      <c r="D1545" s="4">
        <v>2206.3000000000002</v>
      </c>
      <c r="E1545" s="6">
        <v>1194.8</v>
      </c>
      <c r="F1545" s="3">
        <v>66948.499999999985</v>
      </c>
      <c r="G1545" s="3">
        <v>7786.5</v>
      </c>
    </row>
    <row r="1546" spans="1:7" x14ac:dyDescent="0.2">
      <c r="A1546" s="3">
        <v>2003</v>
      </c>
      <c r="B1546" s="3">
        <v>405</v>
      </c>
      <c r="C1546" s="3" t="str">
        <f>VLOOKUP(B1546, '[1]DAR area codes'!A:B,2,FALSE)</f>
        <v>oahu</v>
      </c>
      <c r="D1546" s="4">
        <v>479.1</v>
      </c>
      <c r="E1546" s="6"/>
      <c r="F1546" s="3">
        <v>19208.599999999999</v>
      </c>
      <c r="G1546" s="3">
        <v>6442</v>
      </c>
    </row>
    <row r="1547" spans="1:7" x14ac:dyDescent="0.2">
      <c r="A1547" s="3">
        <v>2003</v>
      </c>
      <c r="B1547" s="3">
        <v>406</v>
      </c>
      <c r="C1547" s="3" t="str">
        <f>VLOOKUP(B1547, '[1]DAR area codes'!A:B,2,FALSE)</f>
        <v>oahu</v>
      </c>
      <c r="D1547" s="4">
        <v>921.5</v>
      </c>
      <c r="E1547" s="6"/>
      <c r="F1547" s="3">
        <v>6242.6999999999989</v>
      </c>
      <c r="G1547" s="3">
        <v>782.6</v>
      </c>
    </row>
    <row r="1548" spans="1:7" x14ac:dyDescent="0.2">
      <c r="A1548" s="3">
        <v>2003</v>
      </c>
      <c r="B1548" s="3">
        <v>407</v>
      </c>
      <c r="C1548" s="3" t="str">
        <f>VLOOKUP(B1548, '[1]DAR area codes'!A:B,2,FALSE)</f>
        <v>oahu</v>
      </c>
      <c r="E1548" s="6"/>
      <c r="F1548" s="3">
        <v>46445.599999999999</v>
      </c>
      <c r="G1548" s="3">
        <v>1663.7</v>
      </c>
    </row>
    <row r="1549" spans="1:7" x14ac:dyDescent="0.2">
      <c r="A1549" s="3">
        <v>2003</v>
      </c>
      <c r="B1549" s="3">
        <v>408</v>
      </c>
      <c r="C1549" s="3" t="str">
        <f>VLOOKUP(B1549, '[1]DAR area codes'!A:B,2,FALSE)</f>
        <v>oahu</v>
      </c>
      <c r="D1549" s="4">
        <v>4570.5</v>
      </c>
      <c r="E1549" s="6">
        <v>685.1</v>
      </c>
      <c r="F1549" s="3">
        <v>47564.000000000007</v>
      </c>
      <c r="G1549" s="3">
        <v>1136.9000000000001</v>
      </c>
    </row>
    <row r="1550" spans="1:7" x14ac:dyDescent="0.2">
      <c r="A1550" s="3">
        <v>2003</v>
      </c>
      <c r="B1550" s="3">
        <v>409</v>
      </c>
      <c r="C1550" s="3" t="str">
        <f>VLOOKUP(B1550, '[1]DAR area codes'!A:B,2,FALSE)</f>
        <v>oahu</v>
      </c>
      <c r="D1550" s="4">
        <v>159.5</v>
      </c>
      <c r="E1550" s="6">
        <v>1445.3</v>
      </c>
      <c r="F1550" s="3">
        <v>36806.800000000003</v>
      </c>
      <c r="G1550" s="3">
        <v>1128.2</v>
      </c>
    </row>
    <row r="1551" spans="1:7" x14ac:dyDescent="0.2">
      <c r="A1551" s="3">
        <v>2003</v>
      </c>
      <c r="B1551" s="3">
        <v>420</v>
      </c>
      <c r="C1551" s="3" t="str">
        <f>VLOOKUP(B1551, '[1]DAR area codes'!A:B,2,FALSE)</f>
        <v>oahu</v>
      </c>
      <c r="E1551" s="6"/>
      <c r="F1551" s="3">
        <v>0</v>
      </c>
      <c r="G1551" s="3">
        <v>61345</v>
      </c>
    </row>
    <row r="1552" spans="1:7" x14ac:dyDescent="0.2">
      <c r="A1552" s="3">
        <v>2003</v>
      </c>
      <c r="B1552" s="3">
        <v>421</v>
      </c>
      <c r="C1552" s="3" t="str">
        <f>VLOOKUP(B1552, '[1]DAR area codes'!A:B,2,FALSE)</f>
        <v>oahu</v>
      </c>
      <c r="D1552" s="4">
        <v>251</v>
      </c>
      <c r="E1552" s="6"/>
      <c r="F1552" s="3">
        <v>35</v>
      </c>
      <c r="G1552" s="3">
        <v>245392.19999999998</v>
      </c>
    </row>
    <row r="1553" spans="1:7" x14ac:dyDescent="0.2">
      <c r="A1553" s="3">
        <v>2003</v>
      </c>
      <c r="B1553" s="3">
        <v>422</v>
      </c>
      <c r="C1553" s="3" t="str">
        <f>VLOOKUP(B1553, '[1]DAR area codes'!A:B,2,FALSE)</f>
        <v>oahu</v>
      </c>
      <c r="E1553" s="6"/>
      <c r="F1553" s="3">
        <v>38</v>
      </c>
      <c r="G1553" s="3">
        <v>45574.5</v>
      </c>
    </row>
    <row r="1554" spans="1:7" x14ac:dyDescent="0.2">
      <c r="A1554" s="3">
        <v>2003</v>
      </c>
      <c r="B1554" s="3">
        <v>423</v>
      </c>
      <c r="C1554" s="3" t="str">
        <f>VLOOKUP(B1554, '[1]DAR area codes'!A:B,2,FALSE)</f>
        <v>oahu</v>
      </c>
      <c r="D1554" s="4">
        <v>3416</v>
      </c>
      <c r="E1554" s="6">
        <v>722.9</v>
      </c>
      <c r="F1554" s="3">
        <v>10837.1</v>
      </c>
      <c r="G1554" s="3">
        <v>237258.6</v>
      </c>
    </row>
    <row r="1555" spans="1:7" x14ac:dyDescent="0.2">
      <c r="A1555" s="3">
        <v>2003</v>
      </c>
      <c r="B1555" s="3">
        <v>424</v>
      </c>
      <c r="C1555" s="3" t="str">
        <f>VLOOKUP(B1555, '[1]DAR area codes'!A:B,2,FALSE)</f>
        <v>oahu</v>
      </c>
      <c r="D1555" s="4">
        <v>6569.4</v>
      </c>
      <c r="E1555" s="6">
        <v>870.6</v>
      </c>
      <c r="F1555" s="3">
        <v>74</v>
      </c>
      <c r="G1555" s="3">
        <v>47760.3</v>
      </c>
    </row>
    <row r="1556" spans="1:7" x14ac:dyDescent="0.2">
      <c r="A1556" s="3">
        <v>2003</v>
      </c>
      <c r="B1556" s="3">
        <v>425</v>
      </c>
      <c r="C1556" s="3" t="str">
        <f>VLOOKUP(B1556, '[1]DAR area codes'!A:B,2,FALSE)</f>
        <v>oahu</v>
      </c>
      <c r="D1556" s="4">
        <v>1042.5999999999999</v>
      </c>
      <c r="E1556" s="6"/>
      <c r="F1556" s="3">
        <v>0</v>
      </c>
      <c r="G1556" s="3">
        <v>271304.7</v>
      </c>
    </row>
    <row r="1557" spans="1:7" x14ac:dyDescent="0.2">
      <c r="A1557" s="3">
        <v>2003</v>
      </c>
      <c r="B1557" s="3">
        <v>426</v>
      </c>
      <c r="C1557" s="3" t="str">
        <f>VLOOKUP(B1557, '[1]DAR area codes'!A:B,2,FALSE)</f>
        <v>oahu</v>
      </c>
      <c r="E1557" s="6"/>
      <c r="F1557" s="3">
        <v>0</v>
      </c>
      <c r="G1557" s="3">
        <v>129068.5</v>
      </c>
    </row>
    <row r="1558" spans="1:7" x14ac:dyDescent="0.2">
      <c r="A1558" s="3">
        <v>2003</v>
      </c>
      <c r="B1558" s="3">
        <v>427</v>
      </c>
      <c r="C1558" s="3" t="str">
        <f>VLOOKUP(B1558, '[1]DAR area codes'!A:B,2,FALSE)</f>
        <v>oahu</v>
      </c>
      <c r="E1558" s="6"/>
      <c r="F1558" s="3">
        <v>0</v>
      </c>
      <c r="G1558" s="3">
        <v>447096</v>
      </c>
    </row>
    <row r="1559" spans="1:7" x14ac:dyDescent="0.2">
      <c r="A1559" s="3">
        <v>2003</v>
      </c>
      <c r="B1559" s="3">
        <v>428</v>
      </c>
      <c r="C1559" s="3" t="str">
        <f>VLOOKUP(B1559, '[1]DAR area codes'!A:B,2,FALSE)</f>
        <v>oahu</v>
      </c>
      <c r="D1559" s="4">
        <v>2578</v>
      </c>
      <c r="E1559" s="6">
        <v>402</v>
      </c>
      <c r="F1559" s="3">
        <v>0</v>
      </c>
      <c r="G1559" s="3">
        <v>42648.3</v>
      </c>
    </row>
    <row r="1560" spans="1:7" x14ac:dyDescent="0.2">
      <c r="A1560" s="3">
        <v>2003</v>
      </c>
      <c r="B1560" s="3">
        <v>429</v>
      </c>
      <c r="C1560" s="3" t="str">
        <f>VLOOKUP(B1560, '[1]DAR area codes'!A:B,2,FALSE)</f>
        <v>oahu</v>
      </c>
      <c r="D1560" s="4">
        <v>3527.3</v>
      </c>
      <c r="E1560" s="6">
        <v>780</v>
      </c>
      <c r="F1560" s="3">
        <v>0</v>
      </c>
      <c r="G1560" s="3">
        <v>24921.300000000003</v>
      </c>
    </row>
    <row r="1561" spans="1:7" x14ac:dyDescent="0.2">
      <c r="A1561" s="3">
        <v>2003</v>
      </c>
      <c r="B1561" s="3">
        <v>500</v>
      </c>
      <c r="C1561" s="3" t="str">
        <f>VLOOKUP(B1561, '[1]DAR area codes'!A:B,2,FALSE)</f>
        <v>kauai</v>
      </c>
      <c r="D1561" s="4">
        <v>830.7</v>
      </c>
      <c r="E1561" s="6">
        <v>4340.3</v>
      </c>
      <c r="F1561" s="3">
        <v>76289.299999999988</v>
      </c>
      <c r="G1561" s="3">
        <v>38004.6</v>
      </c>
    </row>
    <row r="1562" spans="1:7" x14ac:dyDescent="0.2">
      <c r="A1562" s="3">
        <v>2003</v>
      </c>
      <c r="B1562" s="3">
        <v>501</v>
      </c>
      <c r="C1562" s="3" t="str">
        <f>VLOOKUP(B1562, '[1]DAR area codes'!A:B,2,FALSE)</f>
        <v>kauai</v>
      </c>
      <c r="E1562" s="6"/>
      <c r="F1562" s="3">
        <v>2988.6</v>
      </c>
      <c r="G1562" s="3">
        <v>6778.5</v>
      </c>
    </row>
    <row r="1563" spans="1:7" x14ac:dyDescent="0.2">
      <c r="A1563" s="3">
        <v>2003</v>
      </c>
      <c r="B1563" s="3">
        <v>502</v>
      </c>
      <c r="C1563" s="3" t="str">
        <f>VLOOKUP(B1563, '[1]DAR area codes'!A:B,2,FALSE)</f>
        <v>kauai</v>
      </c>
      <c r="E1563" s="6"/>
      <c r="F1563" s="3">
        <v>167</v>
      </c>
      <c r="G1563" s="3">
        <v>7782.5</v>
      </c>
    </row>
    <row r="1564" spans="1:7" x14ac:dyDescent="0.2">
      <c r="A1564" s="3">
        <v>2003</v>
      </c>
      <c r="B1564" s="3">
        <v>503</v>
      </c>
      <c r="C1564" s="3" t="str">
        <f>VLOOKUP(B1564, '[1]DAR area codes'!A:B,2,FALSE)</f>
        <v>kauai</v>
      </c>
      <c r="E1564" s="6">
        <v>1171.8</v>
      </c>
      <c r="F1564" s="3">
        <v>5904.0000000000009</v>
      </c>
      <c r="G1564" s="3">
        <v>14671.6</v>
      </c>
    </row>
    <row r="1565" spans="1:7" x14ac:dyDescent="0.2">
      <c r="A1565" s="3">
        <v>2003</v>
      </c>
      <c r="B1565" s="3">
        <v>504</v>
      </c>
      <c r="C1565" s="3" t="str">
        <f>VLOOKUP(B1565, '[1]DAR area codes'!A:B,2,FALSE)</f>
        <v>kauai</v>
      </c>
      <c r="D1565" s="4">
        <v>328.1</v>
      </c>
      <c r="E1565" s="6">
        <v>1517.5</v>
      </c>
      <c r="F1565" s="3">
        <v>17148.599999999999</v>
      </c>
      <c r="G1565" s="3">
        <v>58737.3</v>
      </c>
    </row>
    <row r="1566" spans="1:7" x14ac:dyDescent="0.2">
      <c r="A1566" s="3">
        <v>2003</v>
      </c>
      <c r="B1566" s="3">
        <v>505</v>
      </c>
      <c r="C1566" s="3" t="str">
        <f>VLOOKUP(B1566, '[1]DAR area codes'!A:B,2,FALSE)</f>
        <v>kauai</v>
      </c>
      <c r="D1566" s="4">
        <v>960</v>
      </c>
      <c r="E1566" s="6">
        <v>5484.6</v>
      </c>
      <c r="F1566" s="3">
        <v>131.6</v>
      </c>
      <c r="G1566" s="3">
        <v>13832.2</v>
      </c>
    </row>
    <row r="1567" spans="1:7" x14ac:dyDescent="0.2">
      <c r="A1567" s="3">
        <v>2003</v>
      </c>
      <c r="B1567" s="3">
        <v>506</v>
      </c>
      <c r="C1567" s="3" t="str">
        <f>VLOOKUP(B1567, '[1]DAR area codes'!A:B,2,FALSE)</f>
        <v>kauai</v>
      </c>
      <c r="D1567" s="4">
        <v>3336</v>
      </c>
      <c r="E1567" s="6">
        <v>4268</v>
      </c>
      <c r="F1567" s="3">
        <v>3312</v>
      </c>
      <c r="G1567" s="3">
        <v>22179.3</v>
      </c>
    </row>
    <row r="1568" spans="1:7" x14ac:dyDescent="0.2">
      <c r="A1568" s="3">
        <v>2003</v>
      </c>
      <c r="B1568" s="3">
        <v>507</v>
      </c>
      <c r="C1568" s="3" t="str">
        <f>VLOOKUP(B1568, '[1]DAR area codes'!A:B,2,FALSE)</f>
        <v>kauai</v>
      </c>
      <c r="E1568" s="6"/>
      <c r="F1568" s="3">
        <v>0</v>
      </c>
      <c r="G1568" s="3">
        <v>0</v>
      </c>
    </row>
    <row r="1569" spans="1:7" x14ac:dyDescent="0.2">
      <c r="A1569" s="3">
        <v>2003</v>
      </c>
      <c r="B1569" s="3">
        <v>508</v>
      </c>
      <c r="C1569" s="3" t="str">
        <f>VLOOKUP(B1569, '[1]DAR area codes'!A:B,2,FALSE)</f>
        <v>kauai</v>
      </c>
      <c r="D1569" s="4">
        <v>2658.2</v>
      </c>
      <c r="E1569" s="6">
        <v>1557</v>
      </c>
      <c r="F1569" s="3">
        <v>0</v>
      </c>
      <c r="G1569" s="3">
        <v>12234</v>
      </c>
    </row>
    <row r="1570" spans="1:7" x14ac:dyDescent="0.2">
      <c r="A1570" s="3">
        <v>2003</v>
      </c>
      <c r="B1570" s="3">
        <v>520</v>
      </c>
      <c r="C1570" s="3" t="str">
        <f>VLOOKUP(B1570, '[1]DAR area codes'!A:B,2,FALSE)</f>
        <v>kauai</v>
      </c>
      <c r="E1570" s="6">
        <v>655</v>
      </c>
      <c r="F1570" s="3">
        <v>432.5</v>
      </c>
      <c r="G1570" s="3">
        <v>143942.70000000001</v>
      </c>
    </row>
    <row r="1571" spans="1:7" x14ac:dyDescent="0.2">
      <c r="A1571" s="3">
        <v>2003</v>
      </c>
      <c r="B1571" s="3">
        <v>521</v>
      </c>
      <c r="C1571" s="3" t="str">
        <f>VLOOKUP(B1571, '[1]DAR area codes'!A:B,2,FALSE)</f>
        <v>kauai</v>
      </c>
      <c r="E1571" s="6"/>
      <c r="F1571" s="3">
        <v>0</v>
      </c>
      <c r="G1571" s="3">
        <v>3526</v>
      </c>
    </row>
    <row r="1572" spans="1:7" x14ac:dyDescent="0.2">
      <c r="A1572" s="3">
        <v>2003</v>
      </c>
      <c r="B1572" s="3">
        <v>522</v>
      </c>
      <c r="C1572" s="3" t="str">
        <f>VLOOKUP(B1572, '[1]DAR area codes'!A:B,2,FALSE)</f>
        <v>kauai</v>
      </c>
      <c r="E1572" s="6"/>
      <c r="F1572" s="3">
        <v>0</v>
      </c>
      <c r="G1572" s="3">
        <v>15011</v>
      </c>
    </row>
    <row r="1573" spans="1:7" x14ac:dyDescent="0.2">
      <c r="A1573" s="3">
        <v>2003</v>
      </c>
      <c r="B1573" s="3">
        <v>523</v>
      </c>
      <c r="C1573" s="3" t="str">
        <f>VLOOKUP(B1573, '[1]DAR area codes'!A:B,2,FALSE)</f>
        <v>kauai</v>
      </c>
      <c r="E1573" s="6"/>
      <c r="F1573" s="3">
        <v>0</v>
      </c>
      <c r="G1573" s="3">
        <v>53137.5</v>
      </c>
    </row>
    <row r="1574" spans="1:7" x14ac:dyDescent="0.2">
      <c r="A1574" s="3">
        <v>2003</v>
      </c>
      <c r="B1574" s="3">
        <v>524</v>
      </c>
      <c r="C1574" s="3" t="str">
        <f>VLOOKUP(B1574, '[1]DAR area codes'!A:B,2,FALSE)</f>
        <v>kauai</v>
      </c>
      <c r="D1574" s="4">
        <v>221.7</v>
      </c>
      <c r="E1574" s="6"/>
      <c r="F1574" s="3">
        <v>0</v>
      </c>
      <c r="G1574" s="3">
        <v>69778.299999999988</v>
      </c>
    </row>
    <row r="1575" spans="1:7" x14ac:dyDescent="0.2">
      <c r="A1575" s="3">
        <v>2003</v>
      </c>
      <c r="B1575" s="3">
        <v>525</v>
      </c>
      <c r="C1575" s="3" t="str">
        <f>VLOOKUP(B1575, '[1]DAR area codes'!A:B,2,FALSE)</f>
        <v>kauai</v>
      </c>
      <c r="E1575" s="6"/>
      <c r="F1575" s="3">
        <v>0</v>
      </c>
      <c r="G1575" s="3">
        <v>6570.7999999999993</v>
      </c>
    </row>
    <row r="1576" spans="1:7" x14ac:dyDescent="0.2">
      <c r="A1576" s="3">
        <v>2003</v>
      </c>
      <c r="B1576" s="3">
        <v>526</v>
      </c>
      <c r="C1576" s="3" t="str">
        <f>VLOOKUP(B1576, '[1]DAR area codes'!A:B,2,FALSE)</f>
        <v>kauai</v>
      </c>
      <c r="E1576" s="6"/>
      <c r="F1576" s="3">
        <v>0</v>
      </c>
      <c r="G1576" s="3">
        <v>305.5</v>
      </c>
    </row>
    <row r="1577" spans="1:7" x14ac:dyDescent="0.2">
      <c r="A1577" s="3">
        <v>2003</v>
      </c>
      <c r="B1577" s="3">
        <v>527</v>
      </c>
      <c r="C1577" s="3" t="str">
        <f>VLOOKUP(B1577, '[1]DAR area codes'!A:B,2,FALSE)</f>
        <v>kauai</v>
      </c>
      <c r="E1577" s="6"/>
      <c r="F1577" s="3">
        <v>0</v>
      </c>
      <c r="G1577" s="3">
        <v>3774</v>
      </c>
    </row>
    <row r="1578" spans="1:7" x14ac:dyDescent="0.2">
      <c r="A1578" s="3">
        <v>2003</v>
      </c>
      <c r="B1578" s="3">
        <v>528</v>
      </c>
      <c r="C1578" s="3" t="str">
        <f>VLOOKUP(B1578, '[1]DAR area codes'!A:B,2,FALSE)</f>
        <v>kauai</v>
      </c>
      <c r="D1578" s="4">
        <v>15179</v>
      </c>
      <c r="E1578" s="6"/>
      <c r="F1578" s="3">
        <v>0</v>
      </c>
      <c r="G1578" s="3">
        <v>7496</v>
      </c>
    </row>
    <row r="1579" spans="1:7" x14ac:dyDescent="0.2">
      <c r="A1579" s="3">
        <v>2002</v>
      </c>
      <c r="B1579" s="3">
        <v>100</v>
      </c>
      <c r="C1579" s="3" t="str">
        <f>VLOOKUP(B1579, '[1]DAR area codes'!A:B,2,FALSE)</f>
        <v>hawaii</v>
      </c>
      <c r="D1579" s="4">
        <v>157.4</v>
      </c>
      <c r="E1579" s="6">
        <v>450</v>
      </c>
      <c r="F1579" s="3">
        <v>6527.5</v>
      </c>
      <c r="G1579" s="3">
        <v>29051.4</v>
      </c>
    </row>
    <row r="1580" spans="1:7" x14ac:dyDescent="0.2">
      <c r="A1580" s="3">
        <v>2002</v>
      </c>
      <c r="B1580" s="3">
        <v>101</v>
      </c>
      <c r="C1580" s="3" t="str">
        <f>VLOOKUP(B1580, '[1]DAR area codes'!A:B,2,FALSE)</f>
        <v>hawaii</v>
      </c>
      <c r="D1580" s="4">
        <v>1035.5999999999999</v>
      </c>
      <c r="E1580" s="6">
        <v>1155.8</v>
      </c>
      <c r="F1580" s="3">
        <v>225398.2</v>
      </c>
      <c r="G1580" s="3">
        <v>124204.1</v>
      </c>
    </row>
    <row r="1581" spans="1:7" x14ac:dyDescent="0.2">
      <c r="A1581" s="3">
        <v>2002</v>
      </c>
      <c r="B1581" s="3">
        <v>102</v>
      </c>
      <c r="C1581" s="3" t="str">
        <f>VLOOKUP(B1581, '[1]DAR area codes'!A:B,2,FALSE)</f>
        <v>hawaii</v>
      </c>
      <c r="D1581" s="4">
        <v>2886</v>
      </c>
      <c r="E1581" s="6">
        <v>2776</v>
      </c>
      <c r="F1581" s="3">
        <v>5525</v>
      </c>
      <c r="G1581" s="3">
        <v>78978.5</v>
      </c>
    </row>
    <row r="1582" spans="1:7" x14ac:dyDescent="0.2">
      <c r="A1582" s="3">
        <v>2002</v>
      </c>
      <c r="B1582" s="3">
        <v>103</v>
      </c>
      <c r="C1582" s="3" t="str">
        <f>VLOOKUP(B1582, '[1]DAR area codes'!A:B,2,FALSE)</f>
        <v>hawaii</v>
      </c>
      <c r="D1582" s="4">
        <v>1869</v>
      </c>
      <c r="E1582" s="6">
        <v>255</v>
      </c>
      <c r="F1582" s="3">
        <v>6375.1</v>
      </c>
      <c r="G1582" s="3">
        <v>3977</v>
      </c>
    </row>
    <row r="1583" spans="1:7" x14ac:dyDescent="0.2">
      <c r="A1583" s="3">
        <v>2002</v>
      </c>
      <c r="B1583" s="3">
        <v>104</v>
      </c>
      <c r="C1583" s="3" t="str">
        <f>VLOOKUP(B1583, '[1]DAR area codes'!A:B,2,FALSE)</f>
        <v>hawaii</v>
      </c>
      <c r="D1583" s="4">
        <v>1333</v>
      </c>
      <c r="E1583" s="6">
        <v>264.5</v>
      </c>
      <c r="F1583" s="3">
        <v>1977.8</v>
      </c>
      <c r="G1583" s="3">
        <v>1938</v>
      </c>
    </row>
    <row r="1584" spans="1:7" x14ac:dyDescent="0.2">
      <c r="A1584" s="3">
        <v>2002</v>
      </c>
      <c r="B1584" s="3">
        <v>105</v>
      </c>
      <c r="C1584" s="3" t="str">
        <f>VLOOKUP(B1584, '[1]DAR area codes'!A:B,2,FALSE)</f>
        <v>hawaii</v>
      </c>
      <c r="D1584" s="4">
        <v>3373</v>
      </c>
      <c r="E1584" s="6">
        <v>285</v>
      </c>
      <c r="F1584" s="3">
        <v>16722</v>
      </c>
      <c r="G1584" s="3">
        <v>4538</v>
      </c>
    </row>
    <row r="1585" spans="1:7" x14ac:dyDescent="0.2">
      <c r="A1585" s="3">
        <v>2002</v>
      </c>
      <c r="B1585" s="3">
        <v>106</v>
      </c>
      <c r="C1585" s="3" t="str">
        <f>VLOOKUP(B1585, '[1]DAR area codes'!A:B,2,FALSE)</f>
        <v>hawaii</v>
      </c>
      <c r="D1585" s="4">
        <v>2115</v>
      </c>
      <c r="E1585" s="6">
        <v>380.8</v>
      </c>
      <c r="F1585" s="3">
        <v>22900.2</v>
      </c>
      <c r="G1585" s="3">
        <v>41814.5</v>
      </c>
    </row>
    <row r="1586" spans="1:7" x14ac:dyDescent="0.2">
      <c r="A1586" s="3">
        <v>2002</v>
      </c>
      <c r="B1586" s="3">
        <v>107</v>
      </c>
      <c r="C1586" s="3" t="str">
        <f>VLOOKUP(B1586, '[1]DAR area codes'!A:B,2,FALSE)</f>
        <v>hawaii</v>
      </c>
      <c r="D1586" s="4">
        <v>1195</v>
      </c>
      <c r="E1586" s="6"/>
      <c r="F1586" s="3">
        <v>5382.6</v>
      </c>
      <c r="G1586" s="3">
        <v>16656</v>
      </c>
    </row>
    <row r="1587" spans="1:7" x14ac:dyDescent="0.2">
      <c r="A1587" s="3">
        <v>2002</v>
      </c>
      <c r="B1587" s="3">
        <v>108</v>
      </c>
      <c r="C1587" s="3" t="str">
        <f>VLOOKUP(B1587, '[1]DAR area codes'!A:B,2,FALSE)</f>
        <v>hawaii</v>
      </c>
      <c r="D1587" s="4">
        <v>820.5</v>
      </c>
      <c r="E1587" s="6">
        <v>780.5</v>
      </c>
      <c r="F1587" s="3">
        <v>1692</v>
      </c>
      <c r="G1587" s="3">
        <v>23896.9</v>
      </c>
    </row>
    <row r="1588" spans="1:7" x14ac:dyDescent="0.2">
      <c r="A1588" s="3">
        <v>2002</v>
      </c>
      <c r="B1588" s="3">
        <v>120</v>
      </c>
      <c r="C1588" s="3" t="str">
        <f>VLOOKUP(B1588, '[1]DAR area codes'!A:B,2,FALSE)</f>
        <v>hawaii</v>
      </c>
      <c r="D1588" s="4">
        <v>1577</v>
      </c>
      <c r="E1588" s="6">
        <v>381</v>
      </c>
      <c r="F1588" s="3">
        <v>0</v>
      </c>
      <c r="G1588" s="3">
        <v>121657</v>
      </c>
    </row>
    <row r="1589" spans="1:7" x14ac:dyDescent="0.2">
      <c r="A1589" s="3">
        <v>2002</v>
      </c>
      <c r="B1589" s="3">
        <v>121</v>
      </c>
      <c r="C1589" s="3" t="str">
        <f>VLOOKUP(B1589, '[1]DAR area codes'!A:B,2,FALSE)</f>
        <v>hawaii</v>
      </c>
      <c r="D1589" s="4">
        <v>5447.2</v>
      </c>
      <c r="E1589" s="6">
        <v>2569</v>
      </c>
      <c r="F1589" s="3">
        <v>51479.4</v>
      </c>
      <c r="G1589" s="3">
        <v>936822.89999999991</v>
      </c>
    </row>
    <row r="1590" spans="1:7" x14ac:dyDescent="0.2">
      <c r="A1590" s="3">
        <v>2002</v>
      </c>
      <c r="B1590" s="3">
        <v>122</v>
      </c>
      <c r="C1590" s="3" t="str">
        <f>VLOOKUP(B1590, '[1]DAR area codes'!A:B,2,FALSE)</f>
        <v>hawaii</v>
      </c>
      <c r="D1590" s="4">
        <v>4627.5</v>
      </c>
      <c r="E1590" s="6">
        <v>1383</v>
      </c>
      <c r="F1590" s="3">
        <v>695</v>
      </c>
      <c r="G1590" s="3">
        <v>124292.3</v>
      </c>
    </row>
    <row r="1591" spans="1:7" x14ac:dyDescent="0.2">
      <c r="A1591" s="3">
        <v>2002</v>
      </c>
      <c r="B1591" s="3">
        <v>123</v>
      </c>
      <c r="C1591" s="3" t="str">
        <f>VLOOKUP(B1591, '[1]DAR area codes'!A:B,2,FALSE)</f>
        <v>hawaii</v>
      </c>
      <c r="D1591" s="4">
        <v>5664</v>
      </c>
      <c r="E1591" s="6">
        <v>635.5</v>
      </c>
      <c r="F1591" s="3">
        <v>0</v>
      </c>
      <c r="G1591" s="3">
        <v>104495.5</v>
      </c>
    </row>
    <row r="1592" spans="1:7" x14ac:dyDescent="0.2">
      <c r="A1592" s="3">
        <v>2002</v>
      </c>
      <c r="B1592" s="3">
        <v>124</v>
      </c>
      <c r="C1592" s="3" t="str">
        <f>VLOOKUP(B1592, '[1]DAR area codes'!A:B,2,FALSE)</f>
        <v>hawaii</v>
      </c>
      <c r="E1592" s="6"/>
      <c r="F1592" s="3">
        <v>0</v>
      </c>
      <c r="G1592" s="3">
        <v>33972.5</v>
      </c>
    </row>
    <row r="1593" spans="1:7" x14ac:dyDescent="0.2">
      <c r="A1593" s="3">
        <v>2002</v>
      </c>
      <c r="B1593" s="3">
        <v>125</v>
      </c>
      <c r="C1593" s="3" t="str">
        <f>VLOOKUP(B1593, '[1]DAR area codes'!A:B,2,FALSE)</f>
        <v>hawaii</v>
      </c>
      <c r="D1593" s="4">
        <v>3531.5</v>
      </c>
      <c r="E1593" s="6">
        <v>575</v>
      </c>
      <c r="F1593" s="3">
        <v>7641.8</v>
      </c>
      <c r="G1593" s="3">
        <v>194103</v>
      </c>
    </row>
    <row r="1594" spans="1:7" x14ac:dyDescent="0.2">
      <c r="A1594" s="3">
        <v>2002</v>
      </c>
      <c r="B1594" s="3">
        <v>126</v>
      </c>
      <c r="C1594" s="3" t="str">
        <f>VLOOKUP(B1594, '[1]DAR area codes'!A:B,2,FALSE)</f>
        <v>hawaii</v>
      </c>
      <c r="D1594" s="4">
        <v>2466.5</v>
      </c>
      <c r="E1594" s="6">
        <v>442</v>
      </c>
      <c r="F1594" s="3">
        <v>99</v>
      </c>
      <c r="G1594" s="3">
        <v>274950</v>
      </c>
    </row>
    <row r="1595" spans="1:7" x14ac:dyDescent="0.2">
      <c r="A1595" s="3">
        <v>2002</v>
      </c>
      <c r="B1595" s="3">
        <v>127</v>
      </c>
      <c r="C1595" s="3" t="str">
        <f>VLOOKUP(B1595, '[1]DAR area codes'!A:B,2,FALSE)</f>
        <v>hawaii</v>
      </c>
      <c r="E1595" s="6"/>
      <c r="F1595" s="3">
        <v>0</v>
      </c>
      <c r="G1595" s="3">
        <v>176372.5</v>
      </c>
    </row>
    <row r="1596" spans="1:7" x14ac:dyDescent="0.2">
      <c r="A1596" s="3">
        <v>2002</v>
      </c>
      <c r="B1596" s="3">
        <v>128</v>
      </c>
      <c r="C1596" s="3" t="str">
        <f>VLOOKUP(B1596, '[1]DAR area codes'!A:B,2,FALSE)</f>
        <v>hawaii</v>
      </c>
      <c r="E1596" s="6"/>
      <c r="F1596" s="3">
        <v>0</v>
      </c>
      <c r="G1596" s="3">
        <v>15303</v>
      </c>
    </row>
    <row r="1597" spans="1:7" x14ac:dyDescent="0.2">
      <c r="A1597" s="3">
        <v>2002</v>
      </c>
      <c r="B1597" s="3">
        <v>300</v>
      </c>
      <c r="C1597" s="3" t="str">
        <f>VLOOKUP(B1597, '[1]DAR area codes'!A:B,2,FALSE)</f>
        <v>maui</v>
      </c>
      <c r="D1597" s="4">
        <v>571</v>
      </c>
      <c r="E1597" s="6">
        <v>1733.7</v>
      </c>
      <c r="F1597" s="3">
        <v>37455.5</v>
      </c>
      <c r="G1597" s="3">
        <v>1824</v>
      </c>
    </row>
    <row r="1598" spans="1:7" x14ac:dyDescent="0.2">
      <c r="A1598" s="3">
        <v>2002</v>
      </c>
      <c r="B1598" s="3">
        <v>301</v>
      </c>
      <c r="C1598" s="3" t="str">
        <f>VLOOKUP(B1598, '[1]DAR area codes'!A:B,2,FALSE)</f>
        <v>maui</v>
      </c>
      <c r="D1598" s="4">
        <v>698</v>
      </c>
      <c r="E1598" s="6">
        <v>664.4</v>
      </c>
      <c r="F1598" s="3">
        <v>2659</v>
      </c>
      <c r="G1598" s="3">
        <v>0</v>
      </c>
    </row>
    <row r="1599" spans="1:7" x14ac:dyDescent="0.2">
      <c r="A1599" s="3">
        <v>2002</v>
      </c>
      <c r="B1599" s="3">
        <v>302</v>
      </c>
      <c r="C1599" s="3" t="str">
        <f>VLOOKUP(B1599, '[1]DAR area codes'!A:B,2,FALSE)</f>
        <v>maui</v>
      </c>
      <c r="D1599" s="4">
        <v>1203.5</v>
      </c>
      <c r="E1599" s="6">
        <v>1288.4000000000001</v>
      </c>
      <c r="F1599" s="3">
        <v>23129.200000000001</v>
      </c>
      <c r="G1599" s="3">
        <v>3000.5</v>
      </c>
    </row>
    <row r="1600" spans="1:7" x14ac:dyDescent="0.2">
      <c r="A1600" s="3">
        <v>2002</v>
      </c>
      <c r="B1600" s="3">
        <v>303</v>
      </c>
      <c r="C1600" s="3" t="str">
        <f>VLOOKUP(B1600, '[1]DAR area codes'!A:B,2,FALSE)</f>
        <v>maui</v>
      </c>
      <c r="D1600" s="4">
        <v>4316</v>
      </c>
      <c r="E1600" s="6">
        <v>1265</v>
      </c>
      <c r="F1600" s="3">
        <v>5002.5</v>
      </c>
      <c r="G1600" s="3">
        <v>5327.4</v>
      </c>
    </row>
    <row r="1601" spans="1:7" x14ac:dyDescent="0.2">
      <c r="A1601" s="3">
        <v>2002</v>
      </c>
      <c r="B1601" s="3">
        <v>304</v>
      </c>
      <c r="C1601" s="3" t="str">
        <f>VLOOKUP(B1601, '[1]DAR area codes'!A:B,2,FALSE)</f>
        <v>maui</v>
      </c>
      <c r="D1601" s="4">
        <v>3962</v>
      </c>
      <c r="E1601" s="6"/>
      <c r="F1601" s="3">
        <v>0</v>
      </c>
      <c r="G1601" s="3">
        <v>511</v>
      </c>
    </row>
    <row r="1602" spans="1:7" x14ac:dyDescent="0.2">
      <c r="A1602" s="3">
        <v>2002</v>
      </c>
      <c r="B1602" s="3">
        <v>305</v>
      </c>
      <c r="C1602" s="3" t="str">
        <f>VLOOKUP(B1602, '[1]DAR area codes'!A:B,2,FALSE)</f>
        <v>maui</v>
      </c>
      <c r="D1602" s="4">
        <v>9021</v>
      </c>
      <c r="E1602" s="6">
        <v>1383.2</v>
      </c>
      <c r="F1602" s="3">
        <v>2332</v>
      </c>
      <c r="G1602" s="3">
        <v>4119.5</v>
      </c>
    </row>
    <row r="1603" spans="1:7" x14ac:dyDescent="0.2">
      <c r="A1603" s="3">
        <v>2002</v>
      </c>
      <c r="B1603" s="3">
        <v>306</v>
      </c>
      <c r="C1603" s="3" t="str">
        <f>VLOOKUP(B1603, '[1]DAR area codes'!A:B,2,FALSE)</f>
        <v>maui</v>
      </c>
      <c r="D1603" s="4">
        <v>693.5</v>
      </c>
      <c r="E1603" s="6">
        <v>558</v>
      </c>
      <c r="F1603" s="3">
        <v>23.8</v>
      </c>
      <c r="G1603" s="3">
        <v>4456.1000000000004</v>
      </c>
    </row>
    <row r="1604" spans="1:7" x14ac:dyDescent="0.2">
      <c r="A1604" s="3">
        <v>2002</v>
      </c>
      <c r="B1604" s="3">
        <v>307</v>
      </c>
      <c r="C1604" s="3" t="str">
        <f>VLOOKUP(B1604, '[1]DAR area codes'!A:B,2,FALSE)</f>
        <v>maui</v>
      </c>
      <c r="E1604" s="6"/>
      <c r="F1604" s="3">
        <v>0</v>
      </c>
      <c r="G1604" s="3">
        <v>544</v>
      </c>
    </row>
    <row r="1605" spans="1:7" x14ac:dyDescent="0.2">
      <c r="A1605" s="3">
        <v>2002</v>
      </c>
      <c r="B1605" s="3">
        <v>308</v>
      </c>
      <c r="C1605" s="3" t="str">
        <f>VLOOKUP(B1605, '[1]DAR area codes'!A:B,2,FALSE)</f>
        <v>maui</v>
      </c>
      <c r="D1605" s="4">
        <v>2866.4</v>
      </c>
      <c r="E1605" s="6">
        <v>1670.5</v>
      </c>
      <c r="F1605" s="3">
        <v>4006.5</v>
      </c>
      <c r="G1605" s="3">
        <v>6943</v>
      </c>
    </row>
    <row r="1606" spans="1:7" x14ac:dyDescent="0.2">
      <c r="A1606" s="3">
        <v>2002</v>
      </c>
      <c r="B1606" s="3">
        <v>309</v>
      </c>
      <c r="C1606" s="3" t="str">
        <f>VLOOKUP(B1606, '[1]DAR area codes'!A:B,2,FALSE)</f>
        <v>maui</v>
      </c>
      <c r="E1606" s="6">
        <v>427</v>
      </c>
      <c r="F1606" s="3">
        <v>1372.3</v>
      </c>
      <c r="G1606" s="3">
        <v>439</v>
      </c>
    </row>
    <row r="1607" spans="1:7" x14ac:dyDescent="0.2">
      <c r="A1607" s="3">
        <v>2002</v>
      </c>
      <c r="B1607" s="3">
        <v>310</v>
      </c>
      <c r="C1607" s="3" t="str">
        <f>VLOOKUP(B1607, '[1]DAR area codes'!A:B,2,FALSE)</f>
        <v>maui</v>
      </c>
      <c r="E1607" s="6"/>
      <c r="F1607" s="3">
        <v>3201.5</v>
      </c>
      <c r="G1607" s="3">
        <v>311</v>
      </c>
    </row>
    <row r="1608" spans="1:7" x14ac:dyDescent="0.2">
      <c r="A1608" s="3">
        <v>2002</v>
      </c>
      <c r="B1608" s="3">
        <v>311</v>
      </c>
      <c r="C1608" s="3" t="str">
        <f>VLOOKUP(B1608, '[1]DAR area codes'!A:B,2,FALSE)</f>
        <v>maui</v>
      </c>
      <c r="E1608" s="6"/>
      <c r="F1608" s="3">
        <v>0</v>
      </c>
      <c r="G1608" s="3">
        <v>488</v>
      </c>
    </row>
    <row r="1609" spans="1:7" x14ac:dyDescent="0.2">
      <c r="A1609" s="3">
        <v>2002</v>
      </c>
      <c r="B1609" s="3">
        <v>312</v>
      </c>
      <c r="C1609" s="3" t="str">
        <f>VLOOKUP(B1609, '[1]DAR area codes'!A:B,2,FALSE)</f>
        <v>maui</v>
      </c>
      <c r="D1609" s="4">
        <v>227.6</v>
      </c>
      <c r="E1609" s="6"/>
      <c r="F1609" s="3">
        <v>2768.5</v>
      </c>
      <c r="G1609" s="3">
        <v>1392</v>
      </c>
    </row>
    <row r="1610" spans="1:7" x14ac:dyDescent="0.2">
      <c r="A1610" s="3">
        <v>2002</v>
      </c>
      <c r="B1610" s="3">
        <v>313</v>
      </c>
      <c r="C1610" s="3" t="str">
        <f>VLOOKUP(B1610, '[1]DAR area codes'!A:B,2,FALSE)</f>
        <v>maui</v>
      </c>
      <c r="D1610" s="4">
        <v>7593.9</v>
      </c>
      <c r="E1610" s="6">
        <v>712</v>
      </c>
      <c r="F1610" s="3">
        <v>205</v>
      </c>
      <c r="G1610" s="3">
        <v>2109.4</v>
      </c>
    </row>
    <row r="1611" spans="1:7" x14ac:dyDescent="0.2">
      <c r="A1611" s="3">
        <v>2002</v>
      </c>
      <c r="B1611" s="3">
        <v>314</v>
      </c>
      <c r="C1611" s="3" t="str">
        <f>VLOOKUP(B1611, '[1]DAR area codes'!A:B,2,FALSE)</f>
        <v>maui</v>
      </c>
      <c r="E1611" s="6">
        <v>555.9</v>
      </c>
      <c r="F1611" s="3">
        <v>1076.3</v>
      </c>
      <c r="G1611" s="3">
        <v>473</v>
      </c>
    </row>
    <row r="1612" spans="1:7" x14ac:dyDescent="0.2">
      <c r="A1612" s="3">
        <v>2002</v>
      </c>
      <c r="B1612" s="3">
        <v>320</v>
      </c>
      <c r="C1612" s="3" t="str">
        <f>VLOOKUP(B1612, '[1]DAR area codes'!A:B,2,FALSE)</f>
        <v>maui</v>
      </c>
      <c r="D1612" s="4">
        <v>18892.400000000001</v>
      </c>
      <c r="E1612" s="6">
        <v>6428.2</v>
      </c>
      <c r="F1612" s="3">
        <v>5202.5</v>
      </c>
      <c r="G1612" s="3">
        <v>33456</v>
      </c>
    </row>
    <row r="1613" spans="1:7" x14ac:dyDescent="0.2">
      <c r="A1613" s="3">
        <v>2002</v>
      </c>
      <c r="B1613" s="3">
        <v>321</v>
      </c>
      <c r="C1613" s="3" t="str">
        <f>VLOOKUP(B1613, '[1]DAR area codes'!A:B,2,FALSE)</f>
        <v>maui</v>
      </c>
      <c r="D1613" s="4">
        <v>13011.01</v>
      </c>
      <c r="E1613" s="6">
        <v>1497.5</v>
      </c>
      <c r="F1613" s="3">
        <v>2129.4</v>
      </c>
      <c r="G1613" s="3">
        <v>2559.5</v>
      </c>
    </row>
    <row r="1614" spans="1:7" x14ac:dyDescent="0.2">
      <c r="A1614" s="3">
        <v>2002</v>
      </c>
      <c r="B1614" s="3">
        <v>322</v>
      </c>
      <c r="C1614" s="3" t="str">
        <f>VLOOKUP(B1614, '[1]DAR area codes'!A:B,2,FALSE)</f>
        <v>maui</v>
      </c>
      <c r="D1614" s="4">
        <v>4706.7</v>
      </c>
      <c r="E1614" s="6">
        <v>153.69999999999999</v>
      </c>
      <c r="F1614" s="3">
        <v>0</v>
      </c>
      <c r="G1614" s="3">
        <v>4186.5</v>
      </c>
    </row>
    <row r="1615" spans="1:7" x14ac:dyDescent="0.2">
      <c r="A1615" s="3">
        <v>2002</v>
      </c>
      <c r="B1615" s="3">
        <v>323</v>
      </c>
      <c r="C1615" s="3" t="str">
        <f>VLOOKUP(B1615, '[1]DAR area codes'!A:B,2,FALSE)</f>
        <v>maui</v>
      </c>
      <c r="D1615" s="4">
        <v>2612</v>
      </c>
      <c r="E1615" s="6"/>
      <c r="F1615" s="3">
        <v>0</v>
      </c>
      <c r="G1615" s="3">
        <v>55305.299999999996</v>
      </c>
    </row>
    <row r="1616" spans="1:7" x14ac:dyDescent="0.2">
      <c r="A1616" s="3">
        <v>2002</v>
      </c>
      <c r="B1616" s="3">
        <v>324</v>
      </c>
      <c r="C1616" s="3" t="str">
        <f>VLOOKUP(B1616, '[1]DAR area codes'!A:B,2,FALSE)</f>
        <v>maui</v>
      </c>
      <c r="D1616" s="4">
        <v>231</v>
      </c>
      <c r="E1616" s="6"/>
      <c r="F1616" s="3">
        <v>0</v>
      </c>
      <c r="G1616" s="3">
        <v>10357</v>
      </c>
    </row>
    <row r="1617" spans="1:7" x14ac:dyDescent="0.2">
      <c r="A1617" s="3">
        <v>2002</v>
      </c>
      <c r="B1617" s="3">
        <v>325</v>
      </c>
      <c r="C1617" s="3" t="str">
        <f>VLOOKUP(B1617, '[1]DAR area codes'!A:B,2,FALSE)</f>
        <v>maui</v>
      </c>
      <c r="D1617" s="4">
        <v>1635</v>
      </c>
      <c r="E1617" s="6"/>
      <c r="F1617" s="3">
        <v>0</v>
      </c>
      <c r="G1617" s="3">
        <v>5763</v>
      </c>
    </row>
    <row r="1618" spans="1:7" x14ac:dyDescent="0.2">
      <c r="A1618" s="3">
        <v>2002</v>
      </c>
      <c r="B1618" s="3">
        <v>326</v>
      </c>
      <c r="C1618" s="3" t="str">
        <f>VLOOKUP(B1618, '[1]DAR area codes'!A:B,2,FALSE)</f>
        <v>maui</v>
      </c>
      <c r="E1618" s="6"/>
      <c r="F1618" s="3">
        <v>0</v>
      </c>
      <c r="G1618" s="3">
        <v>19391</v>
      </c>
    </row>
    <row r="1619" spans="1:7" x14ac:dyDescent="0.2">
      <c r="A1619" s="3">
        <v>2002</v>
      </c>
      <c r="B1619" s="3">
        <v>327</v>
      </c>
      <c r="C1619" s="3" t="str">
        <f>VLOOKUP(B1619, '[1]DAR area codes'!A:B,2,FALSE)</f>
        <v>maui</v>
      </c>
      <c r="D1619" s="4">
        <v>23556.799999999999</v>
      </c>
      <c r="E1619" s="6">
        <v>1876.5</v>
      </c>
      <c r="F1619" s="3">
        <v>586</v>
      </c>
      <c r="G1619" s="3">
        <v>18945.5</v>
      </c>
    </row>
    <row r="1620" spans="1:7" x14ac:dyDescent="0.2">
      <c r="A1620" s="3">
        <v>2002</v>
      </c>
      <c r="B1620" s="3">
        <v>328</v>
      </c>
      <c r="C1620" s="3" t="str">
        <f>VLOOKUP(B1620, '[1]DAR area codes'!A:B,2,FALSE)</f>
        <v>maui</v>
      </c>
      <c r="D1620" s="4">
        <v>1805.5</v>
      </c>
      <c r="E1620" s="6">
        <v>370</v>
      </c>
      <c r="F1620" s="3">
        <v>81</v>
      </c>
      <c r="G1620" s="3">
        <v>48354.400000000001</v>
      </c>
    </row>
    <row r="1621" spans="1:7" x14ac:dyDescent="0.2">
      <c r="A1621" s="3">
        <v>2002</v>
      </c>
      <c r="B1621" s="3">
        <v>331</v>
      </c>
      <c r="C1621" s="3" t="str">
        <f>VLOOKUP(B1621, '[1]DAR area codes'!A:B,2,FALSE)</f>
        <v>maui</v>
      </c>
      <c r="D1621" s="4">
        <v>41697.86</v>
      </c>
      <c r="E1621" s="6">
        <v>34216.800000000003</v>
      </c>
      <c r="F1621" s="3">
        <v>990.5</v>
      </c>
      <c r="G1621" s="3">
        <v>28653.5</v>
      </c>
    </row>
    <row r="1622" spans="1:7" x14ac:dyDescent="0.2">
      <c r="A1622" s="3">
        <v>2002</v>
      </c>
      <c r="B1622" s="3">
        <v>332</v>
      </c>
      <c r="C1622" s="3" t="str">
        <f>VLOOKUP(B1622, '[1]DAR area codes'!A:B,2,FALSE)</f>
        <v>maui</v>
      </c>
      <c r="D1622" s="4">
        <v>138</v>
      </c>
      <c r="E1622" s="6"/>
      <c r="F1622" s="3">
        <v>0</v>
      </c>
      <c r="G1622" s="3">
        <v>66310</v>
      </c>
    </row>
    <row r="1623" spans="1:7" x14ac:dyDescent="0.2">
      <c r="A1623" s="3">
        <v>2002</v>
      </c>
      <c r="B1623" s="3">
        <v>333</v>
      </c>
      <c r="C1623" s="3" t="str">
        <f>VLOOKUP(B1623, '[1]DAR area codes'!A:B,2,FALSE)</f>
        <v>maui</v>
      </c>
      <c r="D1623" s="4">
        <v>478</v>
      </c>
      <c r="E1623" s="6"/>
      <c r="F1623" s="3">
        <v>0</v>
      </c>
      <c r="G1623" s="3">
        <v>2496.5</v>
      </c>
    </row>
    <row r="1624" spans="1:7" x14ac:dyDescent="0.2">
      <c r="A1624" s="3">
        <v>2002</v>
      </c>
      <c r="B1624" s="3">
        <v>400</v>
      </c>
      <c r="C1624" s="3" t="str">
        <f>VLOOKUP(B1624, '[1]DAR area codes'!A:B,2,FALSE)</f>
        <v>oahu</v>
      </c>
      <c r="D1624" s="4">
        <v>127.5</v>
      </c>
      <c r="E1624" s="6">
        <v>211.7</v>
      </c>
      <c r="F1624" s="3">
        <v>15017.599999999999</v>
      </c>
      <c r="G1624" s="3">
        <v>348</v>
      </c>
    </row>
    <row r="1625" spans="1:7" x14ac:dyDescent="0.2">
      <c r="A1625" s="3">
        <v>2002</v>
      </c>
      <c r="B1625" s="3">
        <v>401</v>
      </c>
      <c r="C1625" s="3" t="str">
        <f>VLOOKUP(B1625, '[1]DAR area codes'!A:B,2,FALSE)</f>
        <v>oahu</v>
      </c>
      <c r="D1625" s="4">
        <v>64.599999999999994</v>
      </c>
      <c r="E1625" s="6">
        <v>577.20000000000005</v>
      </c>
      <c r="F1625" s="3">
        <v>38276.800000000003</v>
      </c>
      <c r="G1625" s="3">
        <v>1167</v>
      </c>
    </row>
    <row r="1626" spans="1:7" x14ac:dyDescent="0.2">
      <c r="A1626" s="3">
        <v>2002</v>
      </c>
      <c r="B1626" s="3">
        <v>402</v>
      </c>
      <c r="C1626" s="3" t="str">
        <f>VLOOKUP(B1626, '[1]DAR area codes'!A:B,2,FALSE)</f>
        <v>oahu</v>
      </c>
      <c r="D1626" s="4">
        <v>262.5</v>
      </c>
      <c r="E1626" s="6">
        <v>2043.4</v>
      </c>
      <c r="F1626" s="3">
        <v>49643.9</v>
      </c>
      <c r="G1626" s="3">
        <v>6392.2</v>
      </c>
    </row>
    <row r="1627" spans="1:7" x14ac:dyDescent="0.2">
      <c r="A1627" s="3">
        <v>2002</v>
      </c>
      <c r="B1627" s="3">
        <v>403</v>
      </c>
      <c r="C1627" s="3" t="str">
        <f>VLOOKUP(B1627, '[1]DAR area codes'!A:B,2,FALSE)</f>
        <v>oahu</v>
      </c>
      <c r="D1627" s="4">
        <v>1149</v>
      </c>
      <c r="E1627" s="6">
        <v>4208.8999999999996</v>
      </c>
      <c r="F1627" s="3">
        <v>120877.00000000001</v>
      </c>
      <c r="G1627" s="3">
        <v>21149.699999999997</v>
      </c>
    </row>
    <row r="1628" spans="1:7" x14ac:dyDescent="0.2">
      <c r="A1628" s="3">
        <v>2002</v>
      </c>
      <c r="B1628" s="3">
        <v>404</v>
      </c>
      <c r="C1628" s="3" t="str">
        <f>VLOOKUP(B1628, '[1]DAR area codes'!A:B,2,FALSE)</f>
        <v>oahu</v>
      </c>
      <c r="D1628" s="4">
        <v>1564.7</v>
      </c>
      <c r="E1628" s="6">
        <v>1560.3</v>
      </c>
      <c r="F1628" s="3">
        <v>89033.8</v>
      </c>
      <c r="G1628" s="3">
        <v>3699</v>
      </c>
    </row>
    <row r="1629" spans="1:7" x14ac:dyDescent="0.2">
      <c r="A1629" s="3">
        <v>2002</v>
      </c>
      <c r="B1629" s="3">
        <v>405</v>
      </c>
      <c r="C1629" s="3" t="str">
        <f>VLOOKUP(B1629, '[1]DAR area codes'!A:B,2,FALSE)</f>
        <v>oahu</v>
      </c>
      <c r="D1629" s="4">
        <v>638</v>
      </c>
      <c r="E1629" s="6">
        <v>694</v>
      </c>
      <c r="F1629" s="3">
        <v>35416.199999999997</v>
      </c>
      <c r="G1629" s="3">
        <v>3824.8</v>
      </c>
    </row>
    <row r="1630" spans="1:7" x14ac:dyDescent="0.2">
      <c r="A1630" s="3">
        <v>2002</v>
      </c>
      <c r="B1630" s="3">
        <v>406</v>
      </c>
      <c r="C1630" s="3" t="str">
        <f>VLOOKUP(B1630, '[1]DAR area codes'!A:B,2,FALSE)</f>
        <v>oahu</v>
      </c>
      <c r="D1630" s="4">
        <v>410</v>
      </c>
      <c r="E1630" s="6"/>
      <c r="F1630" s="3">
        <v>9365.5</v>
      </c>
      <c r="G1630" s="3">
        <v>547</v>
      </c>
    </row>
    <row r="1631" spans="1:7" x14ac:dyDescent="0.2">
      <c r="A1631" s="3">
        <v>2002</v>
      </c>
      <c r="B1631" s="3">
        <v>407</v>
      </c>
      <c r="C1631" s="3" t="str">
        <f>VLOOKUP(B1631, '[1]DAR area codes'!A:B,2,FALSE)</f>
        <v>oahu</v>
      </c>
      <c r="E1631" s="6"/>
      <c r="F1631" s="3">
        <v>22552.3</v>
      </c>
      <c r="G1631" s="3">
        <v>235</v>
      </c>
    </row>
    <row r="1632" spans="1:7" x14ac:dyDescent="0.2">
      <c r="A1632" s="3">
        <v>2002</v>
      </c>
      <c r="B1632" s="3">
        <v>408</v>
      </c>
      <c r="C1632" s="3" t="str">
        <f>VLOOKUP(B1632, '[1]DAR area codes'!A:B,2,FALSE)</f>
        <v>oahu</v>
      </c>
      <c r="D1632" s="4">
        <v>2125</v>
      </c>
      <c r="E1632" s="6">
        <v>250.5</v>
      </c>
      <c r="F1632" s="3">
        <v>12597.25</v>
      </c>
      <c r="G1632" s="3">
        <v>345</v>
      </c>
    </row>
    <row r="1633" spans="1:7" x14ac:dyDescent="0.2">
      <c r="A1633" s="3">
        <v>2002</v>
      </c>
      <c r="B1633" s="3">
        <v>409</v>
      </c>
      <c r="C1633" s="3" t="str">
        <f>VLOOKUP(B1633, '[1]DAR area codes'!A:B,2,FALSE)</f>
        <v>oahu</v>
      </c>
      <c r="D1633" s="4">
        <v>411</v>
      </c>
      <c r="E1633" s="6"/>
      <c r="F1633" s="3">
        <v>12857.9</v>
      </c>
      <c r="G1633" s="3">
        <v>821</v>
      </c>
    </row>
    <row r="1634" spans="1:7" x14ac:dyDescent="0.2">
      <c r="A1634" s="3">
        <v>2002</v>
      </c>
      <c r="B1634" s="3">
        <v>420</v>
      </c>
      <c r="C1634" s="3" t="str">
        <f>VLOOKUP(B1634, '[1]DAR area codes'!A:B,2,FALSE)</f>
        <v>oahu</v>
      </c>
      <c r="D1634" s="4">
        <v>311.5</v>
      </c>
      <c r="E1634" s="6"/>
      <c r="F1634" s="3">
        <v>0</v>
      </c>
      <c r="G1634" s="3">
        <v>34266.53</v>
      </c>
    </row>
    <row r="1635" spans="1:7" x14ac:dyDescent="0.2">
      <c r="A1635" s="3">
        <v>2002</v>
      </c>
      <c r="B1635" s="3">
        <v>421</v>
      </c>
      <c r="C1635" s="3" t="str">
        <f>VLOOKUP(B1635, '[1]DAR area codes'!A:B,2,FALSE)</f>
        <v>oahu</v>
      </c>
      <c r="D1635" s="4">
        <v>326.5</v>
      </c>
      <c r="E1635" s="6"/>
      <c r="F1635" s="3">
        <v>0</v>
      </c>
      <c r="G1635" s="3">
        <v>72166.3</v>
      </c>
    </row>
    <row r="1636" spans="1:7" x14ac:dyDescent="0.2">
      <c r="A1636" s="3">
        <v>2002</v>
      </c>
      <c r="B1636" s="3">
        <v>422</v>
      </c>
      <c r="C1636" s="3" t="str">
        <f>VLOOKUP(B1636, '[1]DAR area codes'!A:B,2,FALSE)</f>
        <v>oahu</v>
      </c>
      <c r="E1636" s="6"/>
      <c r="F1636" s="3">
        <v>52</v>
      </c>
      <c r="G1636" s="3">
        <v>88516.3</v>
      </c>
    </row>
    <row r="1637" spans="1:7" x14ac:dyDescent="0.2">
      <c r="A1637" s="3">
        <v>2002</v>
      </c>
      <c r="B1637" s="3">
        <v>423</v>
      </c>
      <c r="C1637" s="3" t="str">
        <f>VLOOKUP(B1637, '[1]DAR area codes'!A:B,2,FALSE)</f>
        <v>oahu</v>
      </c>
      <c r="D1637" s="4">
        <v>3033</v>
      </c>
      <c r="E1637" s="6">
        <v>1121.3</v>
      </c>
      <c r="F1637" s="3">
        <v>20879.7</v>
      </c>
      <c r="G1637" s="3">
        <v>236921.9</v>
      </c>
    </row>
    <row r="1638" spans="1:7" x14ac:dyDescent="0.2">
      <c r="A1638" s="3">
        <v>2002</v>
      </c>
      <c r="B1638" s="3">
        <v>424</v>
      </c>
      <c r="C1638" s="3" t="str">
        <f>VLOOKUP(B1638, '[1]DAR area codes'!A:B,2,FALSE)</f>
        <v>oahu</v>
      </c>
      <c r="D1638" s="4">
        <v>5866</v>
      </c>
      <c r="E1638" s="6">
        <v>956</v>
      </c>
      <c r="F1638" s="3">
        <v>276.5</v>
      </c>
      <c r="G1638" s="3">
        <v>44895</v>
      </c>
    </row>
    <row r="1639" spans="1:7" x14ac:dyDescent="0.2">
      <c r="A1639" s="3">
        <v>2002</v>
      </c>
      <c r="B1639" s="3">
        <v>425</v>
      </c>
      <c r="C1639" s="3" t="str">
        <f>VLOOKUP(B1639, '[1]DAR area codes'!A:B,2,FALSE)</f>
        <v>oahu</v>
      </c>
      <c r="D1639" s="4">
        <v>1839.8</v>
      </c>
      <c r="E1639" s="6"/>
      <c r="F1639" s="3">
        <v>0</v>
      </c>
      <c r="G1639" s="3">
        <v>148513</v>
      </c>
    </row>
    <row r="1640" spans="1:7" x14ac:dyDescent="0.2">
      <c r="A1640" s="3">
        <v>2002</v>
      </c>
      <c r="B1640" s="3">
        <v>426</v>
      </c>
      <c r="C1640" s="3" t="str">
        <f>VLOOKUP(B1640, '[1]DAR area codes'!A:B,2,FALSE)</f>
        <v>oahu</v>
      </c>
      <c r="D1640" s="4">
        <v>241</v>
      </c>
      <c r="E1640" s="6"/>
      <c r="F1640" s="3">
        <v>0</v>
      </c>
      <c r="G1640" s="3">
        <v>166654.5</v>
      </c>
    </row>
    <row r="1641" spans="1:7" x14ac:dyDescent="0.2">
      <c r="A1641" s="3">
        <v>2002</v>
      </c>
      <c r="B1641" s="3">
        <v>427</v>
      </c>
      <c r="C1641" s="3" t="str">
        <f>VLOOKUP(B1641, '[1]DAR area codes'!A:B,2,FALSE)</f>
        <v>oahu</v>
      </c>
      <c r="E1641" s="6"/>
      <c r="F1641" s="3">
        <v>0</v>
      </c>
      <c r="G1641" s="3">
        <v>306868.5</v>
      </c>
    </row>
    <row r="1642" spans="1:7" x14ac:dyDescent="0.2">
      <c r="A1642" s="3">
        <v>2002</v>
      </c>
      <c r="B1642" s="3">
        <v>428</v>
      </c>
      <c r="C1642" s="3" t="str">
        <f>VLOOKUP(B1642, '[1]DAR area codes'!A:B,2,FALSE)</f>
        <v>oahu</v>
      </c>
      <c r="D1642" s="4">
        <v>1871</v>
      </c>
      <c r="E1642" s="6"/>
      <c r="F1642" s="3">
        <v>0</v>
      </c>
      <c r="G1642" s="3">
        <v>142021</v>
      </c>
    </row>
    <row r="1643" spans="1:7" x14ac:dyDescent="0.2">
      <c r="A1643" s="3">
        <v>2002</v>
      </c>
      <c r="B1643" s="3">
        <v>429</v>
      </c>
      <c r="C1643" s="3" t="str">
        <f>VLOOKUP(B1643, '[1]DAR area codes'!A:B,2,FALSE)</f>
        <v>oahu</v>
      </c>
      <c r="D1643" s="4">
        <v>2046.6</v>
      </c>
      <c r="E1643" s="6">
        <v>401.8</v>
      </c>
      <c r="F1643" s="3">
        <v>73</v>
      </c>
      <c r="G1643" s="3">
        <v>30397.4</v>
      </c>
    </row>
    <row r="1644" spans="1:7" x14ac:dyDescent="0.2">
      <c r="A1644" s="3">
        <v>2002</v>
      </c>
      <c r="B1644" s="3">
        <v>500</v>
      </c>
      <c r="C1644" s="3" t="str">
        <f>VLOOKUP(B1644, '[1]DAR area codes'!A:B,2,FALSE)</f>
        <v>kauai</v>
      </c>
      <c r="D1644" s="4">
        <v>2495.9</v>
      </c>
      <c r="E1644" s="6">
        <v>5438.8</v>
      </c>
      <c r="F1644" s="3">
        <v>275048.90000000002</v>
      </c>
      <c r="G1644" s="3">
        <v>21926.9</v>
      </c>
    </row>
    <row r="1645" spans="1:7" x14ac:dyDescent="0.2">
      <c r="A1645" s="3">
        <v>2002</v>
      </c>
      <c r="B1645" s="3">
        <v>501</v>
      </c>
      <c r="C1645" s="3" t="str">
        <f>VLOOKUP(B1645, '[1]DAR area codes'!A:B,2,FALSE)</f>
        <v>kauai</v>
      </c>
      <c r="D1645" s="4">
        <v>287.8</v>
      </c>
      <c r="E1645" s="6"/>
      <c r="F1645" s="3">
        <v>1646</v>
      </c>
      <c r="G1645" s="3">
        <v>8506</v>
      </c>
    </row>
    <row r="1646" spans="1:7" x14ac:dyDescent="0.2">
      <c r="A1646" s="3">
        <v>2002</v>
      </c>
      <c r="B1646" s="3">
        <v>502</v>
      </c>
      <c r="C1646" s="3" t="str">
        <f>VLOOKUP(B1646, '[1]DAR area codes'!A:B,2,FALSE)</f>
        <v>kauai</v>
      </c>
      <c r="E1646" s="6"/>
      <c r="F1646" s="3">
        <v>0</v>
      </c>
      <c r="G1646" s="3">
        <v>6566</v>
      </c>
    </row>
    <row r="1647" spans="1:7" x14ac:dyDescent="0.2">
      <c r="A1647" s="3">
        <v>2002</v>
      </c>
      <c r="B1647" s="3">
        <v>503</v>
      </c>
      <c r="C1647" s="3" t="str">
        <f>VLOOKUP(B1647, '[1]DAR area codes'!A:B,2,FALSE)</f>
        <v>kauai</v>
      </c>
      <c r="E1647" s="6">
        <v>1223</v>
      </c>
      <c r="F1647" s="3">
        <v>35744</v>
      </c>
      <c r="G1647" s="3">
        <v>6120</v>
      </c>
    </row>
    <row r="1648" spans="1:7" x14ac:dyDescent="0.2">
      <c r="A1648" s="3">
        <v>2002</v>
      </c>
      <c r="B1648" s="3">
        <v>504</v>
      </c>
      <c r="C1648" s="3" t="str">
        <f>VLOOKUP(B1648, '[1]DAR area codes'!A:B,2,FALSE)</f>
        <v>kauai</v>
      </c>
      <c r="D1648" s="4">
        <v>613.79999999999995</v>
      </c>
      <c r="E1648" s="6">
        <v>1240.3</v>
      </c>
      <c r="F1648" s="3">
        <v>18471.900000000001</v>
      </c>
      <c r="G1648" s="3">
        <v>19981.099999999999</v>
      </c>
    </row>
    <row r="1649" spans="1:7" x14ac:dyDescent="0.2">
      <c r="A1649" s="3">
        <v>2002</v>
      </c>
      <c r="B1649" s="3">
        <v>505</v>
      </c>
      <c r="C1649" s="3" t="str">
        <f>VLOOKUP(B1649, '[1]DAR area codes'!A:B,2,FALSE)</f>
        <v>kauai</v>
      </c>
      <c r="D1649" s="4">
        <v>1206</v>
      </c>
      <c r="E1649" s="6">
        <v>1026</v>
      </c>
      <c r="F1649" s="3">
        <v>733.5</v>
      </c>
      <c r="G1649" s="3">
        <v>9695.5</v>
      </c>
    </row>
    <row r="1650" spans="1:7" x14ac:dyDescent="0.2">
      <c r="A1650" s="3">
        <v>2002</v>
      </c>
      <c r="B1650" s="3">
        <v>506</v>
      </c>
      <c r="C1650" s="3" t="str">
        <f>VLOOKUP(B1650, '[1]DAR area codes'!A:B,2,FALSE)</f>
        <v>kauai</v>
      </c>
      <c r="D1650" s="4">
        <v>2365</v>
      </c>
      <c r="E1650" s="6">
        <v>2694.5</v>
      </c>
      <c r="F1650" s="3">
        <v>1494</v>
      </c>
      <c r="G1650" s="3">
        <v>2741</v>
      </c>
    </row>
    <row r="1651" spans="1:7" x14ac:dyDescent="0.2">
      <c r="A1651" s="3">
        <v>2002</v>
      </c>
      <c r="B1651" s="3">
        <v>507</v>
      </c>
      <c r="C1651" s="3" t="str">
        <f>VLOOKUP(B1651, '[1]DAR area codes'!A:B,2,FALSE)</f>
        <v>kauai</v>
      </c>
      <c r="E1651" s="6"/>
      <c r="F1651" s="3">
        <v>0</v>
      </c>
      <c r="G1651" s="3">
        <v>0</v>
      </c>
    </row>
    <row r="1652" spans="1:7" x14ac:dyDescent="0.2">
      <c r="A1652" s="3">
        <v>2002</v>
      </c>
      <c r="B1652" s="3">
        <v>508</v>
      </c>
      <c r="C1652" s="3" t="str">
        <f>VLOOKUP(B1652, '[1]DAR area codes'!A:B,2,FALSE)</f>
        <v>kauai</v>
      </c>
      <c r="D1652" s="4">
        <v>8444.1</v>
      </c>
      <c r="E1652" s="6">
        <v>8625.1</v>
      </c>
      <c r="F1652" s="3">
        <v>0</v>
      </c>
      <c r="G1652" s="3">
        <v>24393</v>
      </c>
    </row>
    <row r="1653" spans="1:7" x14ac:dyDescent="0.2">
      <c r="A1653" s="3">
        <v>2002</v>
      </c>
      <c r="B1653" s="3">
        <v>520</v>
      </c>
      <c r="C1653" s="3" t="str">
        <f>VLOOKUP(B1653, '[1]DAR area codes'!A:B,2,FALSE)</f>
        <v>kauai</v>
      </c>
      <c r="D1653" s="4">
        <v>2820.8</v>
      </c>
      <c r="E1653" s="6">
        <v>977</v>
      </c>
      <c r="F1653" s="3">
        <v>1398.5</v>
      </c>
      <c r="G1653" s="3">
        <v>84835</v>
      </c>
    </row>
    <row r="1654" spans="1:7" x14ac:dyDescent="0.2">
      <c r="A1654" s="3">
        <v>2002</v>
      </c>
      <c r="B1654" s="3">
        <v>521</v>
      </c>
      <c r="C1654" s="3" t="str">
        <f>VLOOKUP(B1654, '[1]DAR area codes'!A:B,2,FALSE)</f>
        <v>kauai</v>
      </c>
      <c r="D1654" s="4">
        <v>1834</v>
      </c>
      <c r="E1654" s="6">
        <v>532</v>
      </c>
      <c r="F1654" s="3">
        <v>0</v>
      </c>
      <c r="G1654" s="3">
        <v>7720.5</v>
      </c>
    </row>
    <row r="1655" spans="1:7" x14ac:dyDescent="0.2">
      <c r="A1655" s="3">
        <v>2002</v>
      </c>
      <c r="B1655" s="3">
        <v>522</v>
      </c>
      <c r="C1655" s="3" t="str">
        <f>VLOOKUP(B1655, '[1]DAR area codes'!A:B,2,FALSE)</f>
        <v>kauai</v>
      </c>
      <c r="E1655" s="6"/>
      <c r="F1655" s="3">
        <v>0</v>
      </c>
      <c r="G1655" s="3">
        <v>9742</v>
      </c>
    </row>
    <row r="1656" spans="1:7" x14ac:dyDescent="0.2">
      <c r="A1656" s="3">
        <v>2002</v>
      </c>
      <c r="B1656" s="3">
        <v>523</v>
      </c>
      <c r="C1656" s="3" t="str">
        <f>VLOOKUP(B1656, '[1]DAR area codes'!A:B,2,FALSE)</f>
        <v>kauai</v>
      </c>
      <c r="E1656" s="6">
        <v>943</v>
      </c>
      <c r="F1656" s="3">
        <v>0</v>
      </c>
      <c r="G1656" s="3">
        <v>40994</v>
      </c>
    </row>
    <row r="1657" spans="1:7" x14ac:dyDescent="0.2">
      <c r="A1657" s="3">
        <v>2002</v>
      </c>
      <c r="B1657" s="3">
        <v>524</v>
      </c>
      <c r="C1657" s="3" t="str">
        <f>VLOOKUP(B1657, '[1]DAR area codes'!A:B,2,FALSE)</f>
        <v>kauai</v>
      </c>
      <c r="D1657" s="4">
        <v>506</v>
      </c>
      <c r="E1657" s="6">
        <v>919</v>
      </c>
      <c r="F1657" s="3">
        <v>154</v>
      </c>
      <c r="G1657" s="3">
        <v>71131</v>
      </c>
    </row>
    <row r="1658" spans="1:7" x14ac:dyDescent="0.2">
      <c r="A1658" s="3">
        <v>2002</v>
      </c>
      <c r="B1658" s="3">
        <v>525</v>
      </c>
      <c r="C1658" s="3" t="str">
        <f>VLOOKUP(B1658, '[1]DAR area codes'!A:B,2,FALSE)</f>
        <v>kauai</v>
      </c>
      <c r="E1658" s="6"/>
      <c r="F1658" s="3">
        <v>0</v>
      </c>
      <c r="G1658" s="3">
        <v>6533</v>
      </c>
    </row>
    <row r="1659" spans="1:7" x14ac:dyDescent="0.2">
      <c r="A1659" s="3">
        <v>2002</v>
      </c>
      <c r="B1659" s="3">
        <v>526</v>
      </c>
      <c r="C1659" s="3" t="str">
        <f>VLOOKUP(B1659, '[1]DAR area codes'!A:B,2,FALSE)</f>
        <v>kauai</v>
      </c>
      <c r="E1659" s="6"/>
      <c r="F1659" s="3">
        <v>0</v>
      </c>
      <c r="G1659" s="3">
        <v>0</v>
      </c>
    </row>
    <row r="1660" spans="1:7" x14ac:dyDescent="0.2">
      <c r="A1660" s="3">
        <v>2002</v>
      </c>
      <c r="B1660" s="3">
        <v>527</v>
      </c>
      <c r="C1660" s="3" t="str">
        <f>VLOOKUP(B1660, '[1]DAR area codes'!A:B,2,FALSE)</f>
        <v>kauai</v>
      </c>
      <c r="E1660" s="6"/>
      <c r="F1660" s="3">
        <v>0</v>
      </c>
      <c r="G1660" s="3">
        <v>1903</v>
      </c>
    </row>
    <row r="1661" spans="1:7" x14ac:dyDescent="0.2">
      <c r="A1661" s="3">
        <v>2002</v>
      </c>
      <c r="B1661" s="3">
        <v>528</v>
      </c>
      <c r="C1661" s="3" t="str">
        <f>VLOOKUP(B1661, '[1]DAR area codes'!A:B,2,FALSE)</f>
        <v>kauai</v>
      </c>
      <c r="E1661" s="6">
        <v>667</v>
      </c>
      <c r="F1661" s="3">
        <v>0</v>
      </c>
      <c r="G1661" s="3">
        <v>4610.7</v>
      </c>
    </row>
    <row r="1662" spans="1:7" x14ac:dyDescent="0.2">
      <c r="A1662" s="3">
        <v>2001</v>
      </c>
      <c r="B1662" s="3">
        <v>100</v>
      </c>
      <c r="C1662" s="3" t="str">
        <f>VLOOKUP(B1662, '[1]DAR area codes'!A:B,2,FALSE)</f>
        <v>hawaii</v>
      </c>
      <c r="D1662" s="4">
        <v>31</v>
      </c>
      <c r="E1662" s="6">
        <v>351</v>
      </c>
      <c r="F1662" s="3">
        <v>17031</v>
      </c>
      <c r="G1662" s="3">
        <v>26153</v>
      </c>
    </row>
    <row r="1663" spans="1:7" x14ac:dyDescent="0.2">
      <c r="A1663" s="3">
        <v>2001</v>
      </c>
      <c r="B1663" s="3">
        <v>101</v>
      </c>
      <c r="C1663" s="3" t="str">
        <f>VLOOKUP(B1663, '[1]DAR area codes'!A:B,2,FALSE)</f>
        <v>hawaii</v>
      </c>
      <c r="D1663" s="4">
        <v>1559</v>
      </c>
      <c r="E1663" s="6">
        <v>1650</v>
      </c>
      <c r="F1663" s="3">
        <v>116973</v>
      </c>
      <c r="G1663" s="3">
        <v>112981</v>
      </c>
    </row>
    <row r="1664" spans="1:7" x14ac:dyDescent="0.2">
      <c r="A1664" s="3">
        <v>2001</v>
      </c>
      <c r="B1664" s="3">
        <v>102</v>
      </c>
      <c r="C1664" s="3" t="str">
        <f>VLOOKUP(B1664, '[1]DAR area codes'!A:B,2,FALSE)</f>
        <v>hawaii</v>
      </c>
      <c r="D1664" s="4">
        <v>4096</v>
      </c>
      <c r="E1664" s="6">
        <v>2037</v>
      </c>
      <c r="F1664" s="3">
        <v>35837</v>
      </c>
      <c r="G1664" s="3">
        <v>65405</v>
      </c>
    </row>
    <row r="1665" spans="1:7" x14ac:dyDescent="0.2">
      <c r="A1665" s="3">
        <v>2001</v>
      </c>
      <c r="B1665" s="3">
        <v>103</v>
      </c>
      <c r="C1665" s="3" t="str">
        <f>VLOOKUP(B1665, '[1]DAR area codes'!A:B,2,FALSE)</f>
        <v>hawaii</v>
      </c>
      <c r="D1665" s="4">
        <v>1641</v>
      </c>
      <c r="E1665" s="6"/>
      <c r="F1665" s="3">
        <v>4483</v>
      </c>
      <c r="G1665" s="3">
        <v>2535</v>
      </c>
    </row>
    <row r="1666" spans="1:7" x14ac:dyDescent="0.2">
      <c r="A1666" s="3">
        <v>2001</v>
      </c>
      <c r="B1666" s="3">
        <v>104</v>
      </c>
      <c r="C1666" s="3" t="str">
        <f>VLOOKUP(B1666, '[1]DAR area codes'!A:B,2,FALSE)</f>
        <v>hawaii</v>
      </c>
      <c r="D1666" s="4">
        <v>1829</v>
      </c>
      <c r="E1666" s="6"/>
      <c r="F1666" s="3">
        <v>2735</v>
      </c>
      <c r="G1666" s="3">
        <v>1978</v>
      </c>
    </row>
    <row r="1667" spans="1:7" x14ac:dyDescent="0.2">
      <c r="A1667" s="3">
        <v>2001</v>
      </c>
      <c r="B1667" s="3">
        <v>105</v>
      </c>
      <c r="C1667" s="3" t="str">
        <f>VLOOKUP(B1667, '[1]DAR area codes'!A:B,2,FALSE)</f>
        <v>hawaii</v>
      </c>
      <c r="D1667" s="4">
        <v>3355</v>
      </c>
      <c r="E1667" s="6">
        <v>429</v>
      </c>
      <c r="F1667" s="3">
        <v>11476</v>
      </c>
      <c r="G1667" s="3">
        <v>6789</v>
      </c>
    </row>
    <row r="1668" spans="1:7" x14ac:dyDescent="0.2">
      <c r="A1668" s="3">
        <v>2001</v>
      </c>
      <c r="B1668" s="3">
        <v>106</v>
      </c>
      <c r="C1668" s="3" t="str">
        <f>VLOOKUP(B1668, '[1]DAR area codes'!A:B,2,FALSE)</f>
        <v>hawaii</v>
      </c>
      <c r="D1668" s="4">
        <v>2801</v>
      </c>
      <c r="E1668" s="6">
        <v>459</v>
      </c>
      <c r="F1668" s="3">
        <v>13173</v>
      </c>
      <c r="G1668" s="3">
        <v>86248</v>
      </c>
    </row>
    <row r="1669" spans="1:7" x14ac:dyDescent="0.2">
      <c r="A1669" s="3">
        <v>2001</v>
      </c>
      <c r="B1669" s="3">
        <v>107</v>
      </c>
      <c r="C1669" s="3" t="str">
        <f>VLOOKUP(B1669, '[1]DAR area codes'!A:B,2,FALSE)</f>
        <v>hawaii</v>
      </c>
      <c r="D1669" s="4">
        <v>1797</v>
      </c>
      <c r="E1669" s="6">
        <v>304</v>
      </c>
      <c r="F1669" s="3">
        <v>1748</v>
      </c>
      <c r="G1669" s="3">
        <v>33397</v>
      </c>
    </row>
    <row r="1670" spans="1:7" x14ac:dyDescent="0.2">
      <c r="A1670" s="3">
        <v>2001</v>
      </c>
      <c r="B1670" s="3">
        <v>108</v>
      </c>
      <c r="C1670" s="3" t="str">
        <f>VLOOKUP(B1670, '[1]DAR area codes'!A:B,2,FALSE)</f>
        <v>hawaii</v>
      </c>
      <c r="D1670" s="4">
        <v>2411</v>
      </c>
      <c r="E1670" s="6">
        <v>311</v>
      </c>
      <c r="F1670" s="3">
        <v>2114</v>
      </c>
      <c r="G1670" s="3">
        <v>20302</v>
      </c>
    </row>
    <row r="1671" spans="1:7" x14ac:dyDescent="0.2">
      <c r="A1671" s="3">
        <v>2001</v>
      </c>
      <c r="B1671" s="3">
        <v>120</v>
      </c>
      <c r="C1671" s="3" t="str">
        <f>VLOOKUP(B1671, '[1]DAR area codes'!A:B,2,FALSE)</f>
        <v>hawaii</v>
      </c>
      <c r="D1671" s="4">
        <v>2411</v>
      </c>
      <c r="E1671" s="6"/>
      <c r="F1671" s="3">
        <v>0</v>
      </c>
      <c r="G1671" s="3">
        <v>91781</v>
      </c>
    </row>
    <row r="1672" spans="1:7" x14ac:dyDescent="0.2">
      <c r="A1672" s="3">
        <v>2001</v>
      </c>
      <c r="B1672" s="3">
        <v>121</v>
      </c>
      <c r="C1672" s="3" t="str">
        <f>VLOOKUP(B1672, '[1]DAR area codes'!A:B,2,FALSE)</f>
        <v>hawaii</v>
      </c>
      <c r="D1672" s="4">
        <v>9034</v>
      </c>
      <c r="E1672" s="6">
        <v>3030</v>
      </c>
      <c r="F1672" s="3">
        <v>5943</v>
      </c>
      <c r="G1672" s="3">
        <v>878613</v>
      </c>
    </row>
    <row r="1673" spans="1:7" x14ac:dyDescent="0.2">
      <c r="A1673" s="3">
        <v>2001</v>
      </c>
      <c r="B1673" s="3">
        <v>122</v>
      </c>
      <c r="C1673" s="3" t="str">
        <f>VLOOKUP(B1673, '[1]DAR area codes'!A:B,2,FALSE)</f>
        <v>hawaii</v>
      </c>
      <c r="D1673" s="4">
        <v>7147</v>
      </c>
      <c r="E1673" s="6">
        <v>2435</v>
      </c>
      <c r="F1673" s="3">
        <v>256</v>
      </c>
      <c r="G1673" s="3">
        <v>153760</v>
      </c>
    </row>
    <row r="1674" spans="1:7" x14ac:dyDescent="0.2">
      <c r="A1674" s="3">
        <v>2001</v>
      </c>
      <c r="B1674" s="3">
        <v>123</v>
      </c>
      <c r="C1674" s="3" t="str">
        <f>VLOOKUP(B1674, '[1]DAR area codes'!A:B,2,FALSE)</f>
        <v>hawaii</v>
      </c>
      <c r="D1674" s="4">
        <v>3238</v>
      </c>
      <c r="E1674" s="6"/>
      <c r="F1674" s="3">
        <v>0</v>
      </c>
      <c r="G1674" s="3">
        <v>52692</v>
      </c>
    </row>
    <row r="1675" spans="1:7" x14ac:dyDescent="0.2">
      <c r="A1675" s="3">
        <v>2001</v>
      </c>
      <c r="B1675" s="3">
        <v>124</v>
      </c>
      <c r="C1675" s="3" t="str">
        <f>VLOOKUP(B1675, '[1]DAR area codes'!A:B,2,FALSE)</f>
        <v>hawaii</v>
      </c>
      <c r="E1675" s="6"/>
      <c r="F1675" s="3">
        <v>0</v>
      </c>
      <c r="G1675" s="3">
        <v>69364</v>
      </c>
    </row>
    <row r="1676" spans="1:7" x14ac:dyDescent="0.2">
      <c r="A1676" s="3">
        <v>2001</v>
      </c>
      <c r="B1676" s="3">
        <v>125</v>
      </c>
      <c r="C1676" s="3" t="str">
        <f>VLOOKUP(B1676, '[1]DAR area codes'!A:B,2,FALSE)</f>
        <v>hawaii</v>
      </c>
      <c r="D1676" s="4">
        <v>3413</v>
      </c>
      <c r="E1676" s="6"/>
      <c r="F1676" s="3">
        <v>1159</v>
      </c>
      <c r="G1676" s="3">
        <v>236415</v>
      </c>
    </row>
    <row r="1677" spans="1:7" x14ac:dyDescent="0.2">
      <c r="A1677" s="3">
        <v>2001</v>
      </c>
      <c r="B1677" s="3">
        <v>126</v>
      </c>
      <c r="C1677" s="3" t="str">
        <f>VLOOKUP(B1677, '[1]DAR area codes'!A:B,2,FALSE)</f>
        <v>hawaii</v>
      </c>
      <c r="D1677" s="4">
        <v>7706</v>
      </c>
      <c r="E1677" s="6">
        <v>238</v>
      </c>
      <c r="F1677" s="3">
        <v>137</v>
      </c>
      <c r="G1677" s="3">
        <v>621902</v>
      </c>
    </row>
    <row r="1678" spans="1:7" x14ac:dyDescent="0.2">
      <c r="A1678" s="3">
        <v>2001</v>
      </c>
      <c r="B1678" s="3">
        <v>127</v>
      </c>
      <c r="C1678" s="3" t="str">
        <f>VLOOKUP(B1678, '[1]DAR area codes'!A:B,2,FALSE)</f>
        <v>hawaii</v>
      </c>
      <c r="D1678" s="4">
        <v>434</v>
      </c>
      <c r="E1678" s="6"/>
      <c r="F1678" s="3">
        <v>0</v>
      </c>
      <c r="G1678" s="3">
        <v>92774</v>
      </c>
    </row>
    <row r="1679" spans="1:7" x14ac:dyDescent="0.2">
      <c r="A1679" s="3">
        <v>2001</v>
      </c>
      <c r="B1679" s="3">
        <v>128</v>
      </c>
      <c r="C1679" s="3" t="str">
        <f>VLOOKUP(B1679, '[1]DAR area codes'!A:B,2,FALSE)</f>
        <v>hawaii</v>
      </c>
      <c r="D1679" s="4">
        <v>339</v>
      </c>
      <c r="E1679" s="6"/>
      <c r="F1679" s="3">
        <v>0</v>
      </c>
      <c r="G1679" s="3">
        <v>13534</v>
      </c>
    </row>
    <row r="1680" spans="1:7" x14ac:dyDescent="0.2">
      <c r="A1680" s="3">
        <v>2001</v>
      </c>
      <c r="B1680" s="3">
        <v>300</v>
      </c>
      <c r="C1680" s="3" t="str">
        <f>VLOOKUP(B1680, '[1]DAR area codes'!A:B,2,FALSE)</f>
        <v>maui</v>
      </c>
      <c r="D1680" s="4">
        <v>979</v>
      </c>
      <c r="E1680" s="6">
        <v>1988</v>
      </c>
      <c r="F1680" s="3">
        <v>34430</v>
      </c>
      <c r="G1680" s="3">
        <v>847</v>
      </c>
    </row>
    <row r="1681" spans="1:7" x14ac:dyDescent="0.2">
      <c r="A1681" s="3">
        <v>2001</v>
      </c>
      <c r="B1681" s="3">
        <v>301</v>
      </c>
      <c r="C1681" s="3" t="str">
        <f>VLOOKUP(B1681, '[1]DAR area codes'!A:B,2,FALSE)</f>
        <v>maui</v>
      </c>
      <c r="D1681" s="4">
        <v>1020</v>
      </c>
      <c r="E1681" s="6">
        <v>421</v>
      </c>
      <c r="F1681" s="3">
        <v>5772</v>
      </c>
      <c r="G1681" s="3">
        <v>371</v>
      </c>
    </row>
    <row r="1682" spans="1:7" x14ac:dyDescent="0.2">
      <c r="A1682" s="3">
        <v>2001</v>
      </c>
      <c r="B1682" s="3">
        <v>302</v>
      </c>
      <c r="C1682" s="3" t="str">
        <f>VLOOKUP(B1682, '[1]DAR area codes'!A:B,2,FALSE)</f>
        <v>maui</v>
      </c>
      <c r="D1682" s="4">
        <v>1442</v>
      </c>
      <c r="E1682" s="6">
        <v>1738</v>
      </c>
      <c r="F1682" s="3">
        <v>29110</v>
      </c>
      <c r="G1682" s="3">
        <v>3546</v>
      </c>
    </row>
    <row r="1683" spans="1:7" x14ac:dyDescent="0.2">
      <c r="A1683" s="3">
        <v>2001</v>
      </c>
      <c r="B1683" s="3">
        <v>303</v>
      </c>
      <c r="C1683" s="3" t="str">
        <f>VLOOKUP(B1683, '[1]DAR area codes'!A:B,2,FALSE)</f>
        <v>maui</v>
      </c>
      <c r="D1683" s="4">
        <v>3998</v>
      </c>
      <c r="E1683" s="6">
        <v>956</v>
      </c>
      <c r="F1683" s="3">
        <v>1240</v>
      </c>
      <c r="G1683" s="3">
        <v>6778</v>
      </c>
    </row>
    <row r="1684" spans="1:7" x14ac:dyDescent="0.2">
      <c r="A1684" s="3">
        <v>2001</v>
      </c>
      <c r="B1684" s="3">
        <v>304</v>
      </c>
      <c r="C1684" s="3" t="str">
        <f>VLOOKUP(B1684, '[1]DAR area codes'!A:B,2,FALSE)</f>
        <v>maui</v>
      </c>
      <c r="D1684" s="4">
        <v>812</v>
      </c>
      <c r="E1684" s="6"/>
      <c r="F1684" s="3">
        <v>94</v>
      </c>
      <c r="G1684" s="3">
        <v>300</v>
      </c>
    </row>
    <row r="1685" spans="1:7" x14ac:dyDescent="0.2">
      <c r="A1685" s="3">
        <v>2001</v>
      </c>
      <c r="B1685" s="3">
        <v>305</v>
      </c>
      <c r="C1685" s="3" t="str">
        <f>VLOOKUP(B1685, '[1]DAR area codes'!A:B,2,FALSE)</f>
        <v>maui</v>
      </c>
      <c r="D1685" s="4">
        <v>8186</v>
      </c>
      <c r="E1685" s="6">
        <v>2244</v>
      </c>
      <c r="F1685" s="3">
        <v>4776</v>
      </c>
      <c r="G1685" s="3">
        <v>2522</v>
      </c>
    </row>
    <row r="1686" spans="1:7" x14ac:dyDescent="0.2">
      <c r="A1686" s="3">
        <v>2001</v>
      </c>
      <c r="B1686" s="3">
        <v>306</v>
      </c>
      <c r="C1686" s="3" t="str">
        <f>VLOOKUP(B1686, '[1]DAR area codes'!A:B,2,FALSE)</f>
        <v>maui</v>
      </c>
      <c r="E1686" s="6"/>
      <c r="F1686" s="3">
        <v>0</v>
      </c>
      <c r="G1686" s="3">
        <v>5447</v>
      </c>
    </row>
    <row r="1687" spans="1:7" x14ac:dyDescent="0.2">
      <c r="A1687" s="3">
        <v>2001</v>
      </c>
      <c r="B1687" s="3">
        <v>307</v>
      </c>
      <c r="C1687" s="3" t="str">
        <f>VLOOKUP(B1687, '[1]DAR area codes'!A:B,2,FALSE)</f>
        <v>maui</v>
      </c>
      <c r="E1687" s="6"/>
      <c r="F1687" s="3">
        <v>0</v>
      </c>
      <c r="G1687" s="3">
        <v>390</v>
      </c>
    </row>
    <row r="1688" spans="1:7" x14ac:dyDescent="0.2">
      <c r="A1688" s="3">
        <v>2001</v>
      </c>
      <c r="B1688" s="3">
        <v>308</v>
      </c>
      <c r="C1688" s="3" t="str">
        <f>VLOOKUP(B1688, '[1]DAR area codes'!A:B,2,FALSE)</f>
        <v>maui</v>
      </c>
      <c r="D1688" s="4">
        <v>1841</v>
      </c>
      <c r="E1688" s="6">
        <v>3944</v>
      </c>
      <c r="F1688" s="3">
        <v>4811</v>
      </c>
      <c r="G1688" s="3">
        <v>9280</v>
      </c>
    </row>
    <row r="1689" spans="1:7" x14ac:dyDescent="0.2">
      <c r="A1689" s="3">
        <v>2001</v>
      </c>
      <c r="B1689" s="3">
        <v>309</v>
      </c>
      <c r="C1689" s="3" t="str">
        <f>VLOOKUP(B1689, '[1]DAR area codes'!A:B,2,FALSE)</f>
        <v>maui</v>
      </c>
      <c r="E1689" s="6">
        <v>194</v>
      </c>
      <c r="F1689" s="3">
        <v>879</v>
      </c>
      <c r="G1689" s="3">
        <v>348</v>
      </c>
    </row>
    <row r="1690" spans="1:7" x14ac:dyDescent="0.2">
      <c r="A1690" s="3">
        <v>2001</v>
      </c>
      <c r="B1690" s="3">
        <v>310</v>
      </c>
      <c r="C1690" s="3" t="str">
        <f>VLOOKUP(B1690, '[1]DAR area codes'!A:B,2,FALSE)</f>
        <v>maui</v>
      </c>
      <c r="E1690" s="6"/>
      <c r="F1690" s="3">
        <v>2572</v>
      </c>
      <c r="G1690" s="3">
        <v>273</v>
      </c>
    </row>
    <row r="1691" spans="1:7" x14ac:dyDescent="0.2">
      <c r="A1691" s="3">
        <v>2001</v>
      </c>
      <c r="B1691" s="3">
        <v>311</v>
      </c>
      <c r="C1691" s="3" t="str">
        <f>VLOOKUP(B1691, '[1]DAR area codes'!A:B,2,FALSE)</f>
        <v>maui</v>
      </c>
      <c r="E1691" s="6"/>
      <c r="F1691" s="3">
        <v>0</v>
      </c>
      <c r="G1691" s="3">
        <v>455</v>
      </c>
    </row>
    <row r="1692" spans="1:7" x14ac:dyDescent="0.2">
      <c r="A1692" s="3">
        <v>2001</v>
      </c>
      <c r="B1692" s="3">
        <v>312</v>
      </c>
      <c r="C1692" s="3" t="str">
        <f>VLOOKUP(B1692, '[1]DAR area codes'!A:B,2,FALSE)</f>
        <v>maui</v>
      </c>
      <c r="E1692" s="6"/>
      <c r="F1692" s="3">
        <v>0</v>
      </c>
      <c r="G1692" s="3">
        <v>1751.94</v>
      </c>
    </row>
    <row r="1693" spans="1:7" x14ac:dyDescent="0.2">
      <c r="A1693" s="3">
        <v>2001</v>
      </c>
      <c r="B1693" s="3">
        <v>313</v>
      </c>
      <c r="C1693" s="3" t="str">
        <f>VLOOKUP(B1693, '[1]DAR area codes'!A:B,2,FALSE)</f>
        <v>maui</v>
      </c>
      <c r="D1693" s="4">
        <v>6508.42</v>
      </c>
      <c r="E1693" s="6">
        <v>1563</v>
      </c>
      <c r="F1693" s="3">
        <v>498</v>
      </c>
      <c r="G1693" s="3">
        <v>938</v>
      </c>
    </row>
    <row r="1694" spans="1:7" x14ac:dyDescent="0.2">
      <c r="A1694" s="3">
        <v>2001</v>
      </c>
      <c r="B1694" s="3">
        <v>314</v>
      </c>
      <c r="C1694" s="3" t="str">
        <f>VLOOKUP(B1694, '[1]DAR area codes'!A:B,2,FALSE)</f>
        <v>maui</v>
      </c>
      <c r="E1694" s="6"/>
      <c r="F1694" s="3">
        <v>0</v>
      </c>
      <c r="G1694" s="3">
        <v>1585</v>
      </c>
    </row>
    <row r="1695" spans="1:7" x14ac:dyDescent="0.2">
      <c r="A1695" s="3">
        <v>2001</v>
      </c>
      <c r="B1695" s="3">
        <v>320</v>
      </c>
      <c r="C1695" s="3" t="str">
        <f>VLOOKUP(B1695, '[1]DAR area codes'!A:B,2,FALSE)</f>
        <v>maui</v>
      </c>
      <c r="D1695" s="4">
        <v>13432</v>
      </c>
      <c r="E1695" s="6">
        <v>6988</v>
      </c>
      <c r="F1695" s="3">
        <v>9739</v>
      </c>
      <c r="G1695" s="3">
        <v>33423</v>
      </c>
    </row>
    <row r="1696" spans="1:7" x14ac:dyDescent="0.2">
      <c r="A1696" s="3">
        <v>2001</v>
      </c>
      <c r="B1696" s="3">
        <v>321</v>
      </c>
      <c r="C1696" s="3" t="str">
        <f>VLOOKUP(B1696, '[1]DAR area codes'!A:B,2,FALSE)</f>
        <v>maui</v>
      </c>
      <c r="D1696" s="4">
        <v>10998</v>
      </c>
      <c r="E1696" s="6">
        <v>1654</v>
      </c>
      <c r="F1696" s="3">
        <v>1484</v>
      </c>
      <c r="G1696" s="3">
        <v>6100</v>
      </c>
    </row>
    <row r="1697" spans="1:7" x14ac:dyDescent="0.2">
      <c r="A1697" s="3">
        <v>2001</v>
      </c>
      <c r="B1697" s="3">
        <v>322</v>
      </c>
      <c r="C1697" s="3" t="str">
        <f>VLOOKUP(B1697, '[1]DAR area codes'!A:B,2,FALSE)</f>
        <v>maui</v>
      </c>
      <c r="D1697" s="4">
        <v>1181</v>
      </c>
      <c r="E1697" s="6"/>
      <c r="F1697" s="3">
        <v>0</v>
      </c>
      <c r="G1697" s="3">
        <v>5609</v>
      </c>
    </row>
    <row r="1698" spans="1:7" x14ac:dyDescent="0.2">
      <c r="A1698" s="3">
        <v>2001</v>
      </c>
      <c r="B1698" s="3">
        <v>323</v>
      </c>
      <c r="C1698" s="3" t="str">
        <f>VLOOKUP(B1698, '[1]DAR area codes'!A:B,2,FALSE)</f>
        <v>maui</v>
      </c>
      <c r="D1698" s="4">
        <v>624</v>
      </c>
      <c r="E1698" s="6"/>
      <c r="F1698" s="3">
        <v>0</v>
      </c>
      <c r="G1698" s="3">
        <v>82239</v>
      </c>
    </row>
    <row r="1699" spans="1:7" x14ac:dyDescent="0.2">
      <c r="A1699" s="3">
        <v>2001</v>
      </c>
      <c r="B1699" s="3">
        <v>324</v>
      </c>
      <c r="C1699" s="3" t="str">
        <f>VLOOKUP(B1699, '[1]DAR area codes'!A:B,2,FALSE)</f>
        <v>maui</v>
      </c>
      <c r="D1699" s="4">
        <v>1095</v>
      </c>
      <c r="E1699" s="6"/>
      <c r="F1699" s="3">
        <v>0</v>
      </c>
      <c r="G1699" s="3">
        <v>4786</v>
      </c>
    </row>
    <row r="1700" spans="1:7" x14ac:dyDescent="0.2">
      <c r="A1700" s="3">
        <v>2001</v>
      </c>
      <c r="B1700" s="3">
        <v>325</v>
      </c>
      <c r="C1700" s="3" t="str">
        <f>VLOOKUP(B1700, '[1]DAR area codes'!A:B,2,FALSE)</f>
        <v>maui</v>
      </c>
      <c r="D1700" s="4">
        <v>583</v>
      </c>
      <c r="E1700" s="6"/>
      <c r="F1700" s="3">
        <v>0</v>
      </c>
      <c r="G1700" s="3">
        <v>2880</v>
      </c>
    </row>
    <row r="1701" spans="1:7" x14ac:dyDescent="0.2">
      <c r="A1701" s="3">
        <v>2001</v>
      </c>
      <c r="B1701" s="3">
        <v>326</v>
      </c>
      <c r="C1701" s="3" t="str">
        <f>VLOOKUP(B1701, '[1]DAR area codes'!A:B,2,FALSE)</f>
        <v>maui</v>
      </c>
      <c r="D1701" s="4">
        <v>2084</v>
      </c>
      <c r="E1701" s="6"/>
      <c r="F1701" s="3">
        <v>0</v>
      </c>
      <c r="G1701" s="3">
        <v>48520</v>
      </c>
    </row>
    <row r="1702" spans="1:7" x14ac:dyDescent="0.2">
      <c r="A1702" s="3">
        <v>2001</v>
      </c>
      <c r="B1702" s="3">
        <v>327</v>
      </c>
      <c r="C1702" s="3" t="str">
        <f>VLOOKUP(B1702, '[1]DAR area codes'!A:B,2,FALSE)</f>
        <v>maui</v>
      </c>
      <c r="D1702" s="4">
        <v>26641</v>
      </c>
      <c r="E1702" s="6">
        <v>2031</v>
      </c>
      <c r="F1702" s="3">
        <v>32</v>
      </c>
      <c r="G1702" s="3">
        <v>34749</v>
      </c>
    </row>
    <row r="1703" spans="1:7" x14ac:dyDescent="0.2">
      <c r="A1703" s="3">
        <v>2001</v>
      </c>
      <c r="B1703" s="3">
        <v>328</v>
      </c>
      <c r="C1703" s="3" t="str">
        <f>VLOOKUP(B1703, '[1]DAR area codes'!A:B,2,FALSE)</f>
        <v>maui</v>
      </c>
      <c r="D1703" s="4">
        <v>532.91</v>
      </c>
      <c r="E1703" s="6"/>
      <c r="F1703" s="3">
        <v>48</v>
      </c>
      <c r="G1703" s="3">
        <v>45880</v>
      </c>
    </row>
    <row r="1704" spans="1:7" x14ac:dyDescent="0.2">
      <c r="A1704" s="3">
        <v>2001</v>
      </c>
      <c r="B1704" s="3">
        <v>331</v>
      </c>
      <c r="C1704" s="3" t="str">
        <f>VLOOKUP(B1704, '[1]DAR area codes'!A:B,2,FALSE)</f>
        <v>maui</v>
      </c>
      <c r="D1704" s="4">
        <v>35937.949999999997</v>
      </c>
      <c r="E1704" s="6">
        <v>26546.98</v>
      </c>
      <c r="F1704" s="3">
        <v>1121</v>
      </c>
      <c r="G1704" s="3">
        <v>56478.740000000005</v>
      </c>
    </row>
    <row r="1705" spans="1:7" x14ac:dyDescent="0.2">
      <c r="A1705" s="3">
        <v>2001</v>
      </c>
      <c r="B1705" s="3">
        <v>332</v>
      </c>
      <c r="C1705" s="3" t="str">
        <f>VLOOKUP(B1705, '[1]DAR area codes'!A:B,2,FALSE)</f>
        <v>maui</v>
      </c>
      <c r="E1705" s="6"/>
      <c r="F1705" s="3">
        <v>0</v>
      </c>
      <c r="G1705" s="3">
        <v>22445.59</v>
      </c>
    </row>
    <row r="1706" spans="1:7" x14ac:dyDescent="0.2">
      <c r="A1706" s="3">
        <v>2001</v>
      </c>
      <c r="B1706" s="3">
        <v>333</v>
      </c>
      <c r="C1706" s="3" t="str">
        <f>VLOOKUP(B1706, '[1]DAR area codes'!A:B,2,FALSE)</f>
        <v>maui</v>
      </c>
      <c r="E1706" s="6"/>
      <c r="F1706" s="3">
        <v>0</v>
      </c>
      <c r="G1706" s="3">
        <v>3602</v>
      </c>
    </row>
    <row r="1707" spans="1:7" x14ac:dyDescent="0.2">
      <c r="A1707" s="3">
        <v>2001</v>
      </c>
      <c r="B1707" s="3">
        <v>400</v>
      </c>
      <c r="C1707" s="3" t="str">
        <f>VLOOKUP(B1707, '[1]DAR area codes'!A:B,2,FALSE)</f>
        <v>oahu</v>
      </c>
      <c r="D1707" s="4">
        <v>219</v>
      </c>
      <c r="E1707" s="6"/>
      <c r="F1707" s="3">
        <v>18098</v>
      </c>
      <c r="G1707" s="3">
        <v>558</v>
      </c>
    </row>
    <row r="1708" spans="1:7" x14ac:dyDescent="0.2">
      <c r="A1708" s="3">
        <v>2001</v>
      </c>
      <c r="B1708" s="3">
        <v>401</v>
      </c>
      <c r="C1708" s="3" t="str">
        <f>VLOOKUP(B1708, '[1]DAR area codes'!A:B,2,FALSE)</f>
        <v>oahu</v>
      </c>
      <c r="E1708" s="6">
        <v>1368</v>
      </c>
      <c r="F1708" s="3">
        <v>56760</v>
      </c>
      <c r="G1708" s="3">
        <v>1703</v>
      </c>
    </row>
    <row r="1709" spans="1:7" x14ac:dyDescent="0.2">
      <c r="A1709" s="3">
        <v>2001</v>
      </c>
      <c r="B1709" s="3">
        <v>402</v>
      </c>
      <c r="C1709" s="3" t="str">
        <f>VLOOKUP(B1709, '[1]DAR area codes'!A:B,2,FALSE)</f>
        <v>oahu</v>
      </c>
      <c r="D1709" s="4">
        <v>51</v>
      </c>
      <c r="E1709" s="6">
        <v>191</v>
      </c>
      <c r="F1709" s="3">
        <v>40695</v>
      </c>
      <c r="G1709" s="3">
        <v>5024</v>
      </c>
    </row>
    <row r="1710" spans="1:7" x14ac:dyDescent="0.2">
      <c r="A1710" s="3">
        <v>2001</v>
      </c>
      <c r="B1710" s="3">
        <v>403</v>
      </c>
      <c r="C1710" s="3" t="str">
        <f>VLOOKUP(B1710, '[1]DAR area codes'!A:B,2,FALSE)</f>
        <v>oahu</v>
      </c>
      <c r="D1710" s="4">
        <v>736</v>
      </c>
      <c r="E1710" s="6">
        <v>3384</v>
      </c>
      <c r="F1710" s="3">
        <v>126312</v>
      </c>
      <c r="G1710" s="3">
        <v>29564</v>
      </c>
    </row>
    <row r="1711" spans="1:7" x14ac:dyDescent="0.2">
      <c r="A1711" s="3">
        <v>2001</v>
      </c>
      <c r="B1711" s="3">
        <v>404</v>
      </c>
      <c r="C1711" s="3" t="str">
        <f>VLOOKUP(B1711, '[1]DAR area codes'!A:B,2,FALSE)</f>
        <v>oahu</v>
      </c>
      <c r="D1711" s="4">
        <v>351</v>
      </c>
      <c r="E1711" s="6">
        <v>2635</v>
      </c>
      <c r="F1711" s="3">
        <v>112448</v>
      </c>
      <c r="G1711" s="3">
        <v>11055</v>
      </c>
    </row>
    <row r="1712" spans="1:7" x14ac:dyDescent="0.2">
      <c r="A1712" s="3">
        <v>2001</v>
      </c>
      <c r="B1712" s="3">
        <v>405</v>
      </c>
      <c r="C1712" s="3" t="str">
        <f>VLOOKUP(B1712, '[1]DAR area codes'!A:B,2,FALSE)</f>
        <v>oahu</v>
      </c>
      <c r="D1712" s="4">
        <v>205</v>
      </c>
      <c r="E1712" s="6">
        <v>1524</v>
      </c>
      <c r="F1712" s="3">
        <v>24789</v>
      </c>
      <c r="G1712" s="3">
        <v>771</v>
      </c>
    </row>
    <row r="1713" spans="1:7" x14ac:dyDescent="0.2">
      <c r="A1713" s="3">
        <v>2001</v>
      </c>
      <c r="B1713" s="3">
        <v>406</v>
      </c>
      <c r="C1713" s="3" t="str">
        <f>VLOOKUP(B1713, '[1]DAR area codes'!A:B,2,FALSE)</f>
        <v>oahu</v>
      </c>
      <c r="E1713" s="6"/>
      <c r="F1713" s="3">
        <v>6145</v>
      </c>
      <c r="G1713" s="3">
        <v>889</v>
      </c>
    </row>
    <row r="1714" spans="1:7" x14ac:dyDescent="0.2">
      <c r="A1714" s="3">
        <v>2001</v>
      </c>
      <c r="B1714" s="3">
        <v>407</v>
      </c>
      <c r="C1714" s="3" t="str">
        <f>VLOOKUP(B1714, '[1]DAR area codes'!A:B,2,FALSE)</f>
        <v>oahu</v>
      </c>
      <c r="E1714" s="6"/>
      <c r="F1714" s="3">
        <v>16640</v>
      </c>
      <c r="G1714" s="3">
        <v>1113</v>
      </c>
    </row>
    <row r="1715" spans="1:7" x14ac:dyDescent="0.2">
      <c r="A1715" s="3">
        <v>2001</v>
      </c>
      <c r="B1715" s="3">
        <v>408</v>
      </c>
      <c r="C1715" s="3" t="str">
        <f>VLOOKUP(B1715, '[1]DAR area codes'!A:B,2,FALSE)</f>
        <v>oahu</v>
      </c>
      <c r="D1715" s="4">
        <v>1153</v>
      </c>
      <c r="E1715" s="6">
        <v>334</v>
      </c>
      <c r="F1715" s="3">
        <v>4917</v>
      </c>
      <c r="G1715" s="3">
        <v>206</v>
      </c>
    </row>
    <row r="1716" spans="1:7" x14ac:dyDescent="0.2">
      <c r="A1716" s="3">
        <v>2001</v>
      </c>
      <c r="B1716" s="3">
        <v>409</v>
      </c>
      <c r="C1716" s="3" t="str">
        <f>VLOOKUP(B1716, '[1]DAR area codes'!A:B,2,FALSE)</f>
        <v>oahu</v>
      </c>
      <c r="D1716" s="4">
        <v>232</v>
      </c>
      <c r="E1716" s="6">
        <v>201</v>
      </c>
      <c r="F1716" s="3">
        <v>11640</v>
      </c>
      <c r="G1716" s="3">
        <v>924</v>
      </c>
    </row>
    <row r="1717" spans="1:7" x14ac:dyDescent="0.2">
      <c r="A1717" s="3">
        <v>2001</v>
      </c>
      <c r="B1717" s="3">
        <v>420</v>
      </c>
      <c r="C1717" s="3" t="str">
        <f>VLOOKUP(B1717, '[1]DAR area codes'!A:B,2,FALSE)</f>
        <v>oahu</v>
      </c>
      <c r="D1717" s="4">
        <v>95</v>
      </c>
      <c r="E1717" s="6"/>
      <c r="F1717" s="3">
        <v>0</v>
      </c>
      <c r="G1717" s="3">
        <v>98189</v>
      </c>
    </row>
    <row r="1718" spans="1:7" x14ac:dyDescent="0.2">
      <c r="A1718" s="3">
        <v>2001</v>
      </c>
      <c r="B1718" s="3">
        <v>421</v>
      </c>
      <c r="C1718" s="3" t="str">
        <f>VLOOKUP(B1718, '[1]DAR area codes'!A:B,2,FALSE)</f>
        <v>oahu</v>
      </c>
      <c r="D1718" s="4">
        <v>872</v>
      </c>
      <c r="E1718" s="6"/>
      <c r="F1718" s="3">
        <v>0</v>
      </c>
      <c r="G1718" s="3">
        <v>157062</v>
      </c>
    </row>
    <row r="1719" spans="1:7" x14ac:dyDescent="0.2">
      <c r="A1719" s="3">
        <v>2001</v>
      </c>
      <c r="B1719" s="3">
        <v>422</v>
      </c>
      <c r="C1719" s="3" t="str">
        <f>VLOOKUP(B1719, '[1]DAR area codes'!A:B,2,FALSE)</f>
        <v>oahu</v>
      </c>
      <c r="D1719" s="4">
        <v>1213</v>
      </c>
      <c r="E1719" s="6"/>
      <c r="F1719" s="3">
        <v>16</v>
      </c>
      <c r="G1719" s="3">
        <v>225954.5</v>
      </c>
    </row>
    <row r="1720" spans="1:7" x14ac:dyDescent="0.2">
      <c r="A1720" s="3">
        <v>2001</v>
      </c>
      <c r="B1720" s="3">
        <v>423</v>
      </c>
      <c r="C1720" s="3" t="str">
        <f>VLOOKUP(B1720, '[1]DAR area codes'!A:B,2,FALSE)</f>
        <v>oahu</v>
      </c>
      <c r="D1720" s="4">
        <v>2501</v>
      </c>
      <c r="E1720" s="6">
        <v>964</v>
      </c>
      <c r="F1720" s="3">
        <v>1814</v>
      </c>
      <c r="G1720" s="3">
        <v>541454</v>
      </c>
    </row>
    <row r="1721" spans="1:7" x14ac:dyDescent="0.2">
      <c r="A1721" s="3">
        <v>2001</v>
      </c>
      <c r="B1721" s="3">
        <v>424</v>
      </c>
      <c r="C1721" s="3" t="str">
        <f>VLOOKUP(B1721, '[1]DAR area codes'!A:B,2,FALSE)</f>
        <v>oahu</v>
      </c>
      <c r="D1721" s="4">
        <v>3702</v>
      </c>
      <c r="E1721" s="6">
        <v>689</v>
      </c>
      <c r="F1721" s="3">
        <v>71</v>
      </c>
      <c r="G1721" s="3">
        <v>90873</v>
      </c>
    </row>
    <row r="1722" spans="1:7" x14ac:dyDescent="0.2">
      <c r="A1722" s="3">
        <v>2001</v>
      </c>
      <c r="B1722" s="3">
        <v>425</v>
      </c>
      <c r="C1722" s="3" t="str">
        <f>VLOOKUP(B1722, '[1]DAR area codes'!A:B,2,FALSE)</f>
        <v>oahu</v>
      </c>
      <c r="D1722" s="4">
        <v>1075</v>
      </c>
      <c r="E1722" s="6"/>
      <c r="F1722" s="3">
        <v>0</v>
      </c>
      <c r="G1722" s="3">
        <v>121196</v>
      </c>
    </row>
    <row r="1723" spans="1:7" x14ac:dyDescent="0.2">
      <c r="A1723" s="3">
        <v>2001</v>
      </c>
      <c r="B1723" s="3">
        <v>426</v>
      </c>
      <c r="C1723" s="3" t="str">
        <f>VLOOKUP(B1723, '[1]DAR area codes'!A:B,2,FALSE)</f>
        <v>oahu</v>
      </c>
      <c r="E1723" s="6"/>
      <c r="F1723" s="3">
        <v>0</v>
      </c>
      <c r="G1723" s="3">
        <v>64599</v>
      </c>
    </row>
    <row r="1724" spans="1:7" x14ac:dyDescent="0.2">
      <c r="A1724" s="3">
        <v>2001</v>
      </c>
      <c r="B1724" s="3">
        <v>427</v>
      </c>
      <c r="C1724" s="3" t="str">
        <f>VLOOKUP(B1724, '[1]DAR area codes'!A:B,2,FALSE)</f>
        <v>oahu</v>
      </c>
      <c r="E1724" s="6"/>
      <c r="F1724" s="3">
        <v>0</v>
      </c>
      <c r="G1724" s="3">
        <v>168741</v>
      </c>
    </row>
    <row r="1725" spans="1:7" x14ac:dyDescent="0.2">
      <c r="A1725" s="3">
        <v>2001</v>
      </c>
      <c r="B1725" s="3">
        <v>428</v>
      </c>
      <c r="C1725" s="3" t="str">
        <f>VLOOKUP(B1725, '[1]DAR area codes'!A:B,2,FALSE)</f>
        <v>oahu</v>
      </c>
      <c r="D1725" s="4">
        <v>1666</v>
      </c>
      <c r="E1725" s="6">
        <v>343</v>
      </c>
      <c r="F1725" s="3">
        <v>0</v>
      </c>
      <c r="G1725" s="3">
        <v>35480</v>
      </c>
    </row>
    <row r="1726" spans="1:7" x14ac:dyDescent="0.2">
      <c r="A1726" s="3">
        <v>2001</v>
      </c>
      <c r="B1726" s="3">
        <v>429</v>
      </c>
      <c r="C1726" s="3" t="str">
        <f>VLOOKUP(B1726, '[1]DAR area codes'!A:B,2,FALSE)</f>
        <v>oahu</v>
      </c>
      <c r="D1726" s="4">
        <v>3203</v>
      </c>
      <c r="E1726" s="6">
        <v>1228</v>
      </c>
      <c r="F1726" s="3">
        <v>48</v>
      </c>
      <c r="G1726" s="3">
        <v>56457.06</v>
      </c>
    </row>
    <row r="1727" spans="1:7" x14ac:dyDescent="0.2">
      <c r="A1727" s="3">
        <v>2001</v>
      </c>
      <c r="B1727" s="3">
        <v>500</v>
      </c>
      <c r="C1727" s="3" t="str">
        <f>VLOOKUP(B1727, '[1]DAR area codes'!A:B,2,FALSE)</f>
        <v>kauai</v>
      </c>
      <c r="D1727" s="4">
        <v>1249</v>
      </c>
      <c r="E1727" s="6">
        <v>6776</v>
      </c>
      <c r="F1727" s="3">
        <v>380580</v>
      </c>
      <c r="G1727" s="3">
        <v>8384.5</v>
      </c>
    </row>
    <row r="1728" spans="1:7" x14ac:dyDescent="0.2">
      <c r="A1728" s="3">
        <v>2001</v>
      </c>
      <c r="B1728" s="3">
        <v>501</v>
      </c>
      <c r="C1728" s="3" t="str">
        <f>VLOOKUP(B1728, '[1]DAR area codes'!A:B,2,FALSE)</f>
        <v>kauai</v>
      </c>
      <c r="E1728" s="6">
        <v>552</v>
      </c>
      <c r="F1728" s="3">
        <v>821</v>
      </c>
      <c r="G1728" s="3">
        <v>1212</v>
      </c>
    </row>
    <row r="1729" spans="1:7" x14ac:dyDescent="0.2">
      <c r="A1729" s="3">
        <v>2001</v>
      </c>
      <c r="B1729" s="3">
        <v>502</v>
      </c>
      <c r="C1729" s="3" t="str">
        <f>VLOOKUP(B1729, '[1]DAR area codes'!A:B,2,FALSE)</f>
        <v>kauai</v>
      </c>
      <c r="E1729" s="6"/>
      <c r="F1729" s="3">
        <v>0</v>
      </c>
      <c r="G1729" s="3">
        <v>1533</v>
      </c>
    </row>
    <row r="1730" spans="1:7" x14ac:dyDescent="0.2">
      <c r="A1730" s="3">
        <v>2001</v>
      </c>
      <c r="B1730" s="3">
        <v>503</v>
      </c>
      <c r="C1730" s="3" t="str">
        <f>VLOOKUP(B1730, '[1]DAR area codes'!A:B,2,FALSE)</f>
        <v>kauai</v>
      </c>
      <c r="D1730" s="4">
        <v>314</v>
      </c>
      <c r="E1730" s="6"/>
      <c r="F1730" s="3">
        <v>53127</v>
      </c>
      <c r="G1730" s="3">
        <v>8495</v>
      </c>
    </row>
    <row r="1731" spans="1:7" x14ac:dyDescent="0.2">
      <c r="A1731" s="3">
        <v>2001</v>
      </c>
      <c r="B1731" s="3">
        <v>504</v>
      </c>
      <c r="C1731" s="3" t="str">
        <f>VLOOKUP(B1731, '[1]DAR area codes'!A:B,2,FALSE)</f>
        <v>kauai</v>
      </c>
      <c r="D1731" s="4">
        <v>414</v>
      </c>
      <c r="E1731" s="6">
        <v>1191</v>
      </c>
      <c r="F1731" s="3">
        <v>40620</v>
      </c>
      <c r="G1731" s="3">
        <v>14040</v>
      </c>
    </row>
    <row r="1732" spans="1:7" x14ac:dyDescent="0.2">
      <c r="A1732" s="3">
        <v>2001</v>
      </c>
      <c r="B1732" s="3">
        <v>505</v>
      </c>
      <c r="C1732" s="3" t="str">
        <f>VLOOKUP(B1732, '[1]DAR area codes'!A:B,2,FALSE)</f>
        <v>kauai</v>
      </c>
      <c r="D1732" s="4">
        <v>787</v>
      </c>
      <c r="E1732" s="6">
        <v>947</v>
      </c>
      <c r="F1732" s="3">
        <v>373</v>
      </c>
      <c r="G1732" s="3">
        <v>4511</v>
      </c>
    </row>
    <row r="1733" spans="1:7" x14ac:dyDescent="0.2">
      <c r="A1733" s="3">
        <v>2001</v>
      </c>
      <c r="B1733" s="3">
        <v>506</v>
      </c>
      <c r="C1733" s="3" t="str">
        <f>VLOOKUP(B1733, '[1]DAR area codes'!A:B,2,FALSE)</f>
        <v>kauai</v>
      </c>
      <c r="D1733" s="4">
        <v>4348</v>
      </c>
      <c r="E1733" s="6">
        <v>3519</v>
      </c>
      <c r="F1733" s="3">
        <v>1201</v>
      </c>
      <c r="G1733" s="3">
        <v>8993</v>
      </c>
    </row>
    <row r="1734" spans="1:7" x14ac:dyDescent="0.2">
      <c r="A1734" s="3">
        <v>2001</v>
      </c>
      <c r="B1734" s="3">
        <v>507</v>
      </c>
      <c r="C1734" s="3" t="str">
        <f>VLOOKUP(B1734, '[1]DAR area codes'!A:B,2,FALSE)</f>
        <v>kauai</v>
      </c>
      <c r="E1734" s="6"/>
      <c r="F1734" s="3">
        <v>0</v>
      </c>
      <c r="G1734" s="3">
        <v>0</v>
      </c>
    </row>
    <row r="1735" spans="1:7" x14ac:dyDescent="0.2">
      <c r="A1735" s="3">
        <v>2001</v>
      </c>
      <c r="B1735" s="3">
        <v>508</v>
      </c>
      <c r="C1735" s="3" t="str">
        <f>VLOOKUP(B1735, '[1]DAR area codes'!A:B,2,FALSE)</f>
        <v>kauai</v>
      </c>
      <c r="D1735" s="4">
        <v>4138.5</v>
      </c>
      <c r="E1735" s="6">
        <v>4340</v>
      </c>
      <c r="F1735" s="3">
        <v>297.5</v>
      </c>
      <c r="G1735" s="3">
        <v>27176.910000000003</v>
      </c>
    </row>
    <row r="1736" spans="1:7" x14ac:dyDescent="0.2">
      <c r="A1736" s="3">
        <v>2001</v>
      </c>
      <c r="B1736" s="3">
        <v>520</v>
      </c>
      <c r="C1736" s="3" t="str">
        <f>VLOOKUP(B1736, '[1]DAR area codes'!A:B,2,FALSE)</f>
        <v>kauai</v>
      </c>
      <c r="D1736" s="4">
        <v>1479</v>
      </c>
      <c r="E1736" s="6">
        <v>2082</v>
      </c>
      <c r="F1736" s="3">
        <v>1396</v>
      </c>
      <c r="G1736" s="3">
        <v>99391</v>
      </c>
    </row>
    <row r="1737" spans="1:7" x14ac:dyDescent="0.2">
      <c r="A1737" s="3">
        <v>2001</v>
      </c>
      <c r="B1737" s="3">
        <v>521</v>
      </c>
      <c r="C1737" s="3" t="str">
        <f>VLOOKUP(B1737, '[1]DAR area codes'!A:B,2,FALSE)</f>
        <v>kauai</v>
      </c>
      <c r="D1737" s="4">
        <v>365</v>
      </c>
      <c r="E1737" s="6"/>
      <c r="F1737" s="3">
        <v>0</v>
      </c>
      <c r="G1737" s="3">
        <v>18773</v>
      </c>
    </row>
    <row r="1738" spans="1:7" x14ac:dyDescent="0.2">
      <c r="A1738" s="3">
        <v>2001</v>
      </c>
      <c r="B1738" s="3">
        <v>522</v>
      </c>
      <c r="C1738" s="3" t="str">
        <f>VLOOKUP(B1738, '[1]DAR area codes'!A:B,2,FALSE)</f>
        <v>kauai</v>
      </c>
      <c r="D1738" s="4">
        <v>1773</v>
      </c>
      <c r="E1738" s="6"/>
      <c r="F1738" s="3">
        <v>0</v>
      </c>
      <c r="G1738" s="3">
        <v>2426</v>
      </c>
    </row>
    <row r="1739" spans="1:7" x14ac:dyDescent="0.2">
      <c r="A1739" s="3">
        <v>2001</v>
      </c>
      <c r="B1739" s="3">
        <v>523</v>
      </c>
      <c r="C1739" s="3" t="str">
        <f>VLOOKUP(B1739, '[1]DAR area codes'!A:B,2,FALSE)</f>
        <v>kauai</v>
      </c>
      <c r="D1739" s="4">
        <v>2723</v>
      </c>
      <c r="E1739" s="6">
        <v>1016</v>
      </c>
      <c r="F1739" s="3">
        <v>82</v>
      </c>
      <c r="G1739" s="3">
        <v>58304</v>
      </c>
    </row>
    <row r="1740" spans="1:7" x14ac:dyDescent="0.2">
      <c r="A1740" s="3">
        <v>2001</v>
      </c>
      <c r="B1740" s="3">
        <v>524</v>
      </c>
      <c r="C1740" s="3" t="str">
        <f>VLOOKUP(B1740, '[1]DAR area codes'!A:B,2,FALSE)</f>
        <v>kauai</v>
      </c>
      <c r="D1740" s="4">
        <v>1450</v>
      </c>
      <c r="E1740" s="6">
        <v>2447</v>
      </c>
      <c r="F1740" s="3">
        <v>926</v>
      </c>
      <c r="G1740" s="3">
        <v>90503</v>
      </c>
    </row>
    <row r="1741" spans="1:7" x14ac:dyDescent="0.2">
      <c r="A1741" s="3">
        <v>2001</v>
      </c>
      <c r="B1741" s="3">
        <v>525</v>
      </c>
      <c r="C1741" s="3" t="str">
        <f>VLOOKUP(B1741, '[1]DAR area codes'!A:B,2,FALSE)</f>
        <v>kauai</v>
      </c>
      <c r="D1741" s="4">
        <v>3647</v>
      </c>
      <c r="E1741" s="6">
        <v>2999</v>
      </c>
      <c r="F1741" s="3">
        <v>0</v>
      </c>
      <c r="G1741" s="3">
        <v>12335</v>
      </c>
    </row>
    <row r="1742" spans="1:7" x14ac:dyDescent="0.2">
      <c r="A1742" s="3">
        <v>2001</v>
      </c>
      <c r="B1742" s="3">
        <v>526</v>
      </c>
      <c r="C1742" s="3" t="str">
        <f>VLOOKUP(B1742, '[1]DAR area codes'!A:B,2,FALSE)</f>
        <v>kauai</v>
      </c>
      <c r="E1742" s="6"/>
      <c r="F1742" s="3">
        <v>0</v>
      </c>
      <c r="G1742" s="3">
        <v>1956</v>
      </c>
    </row>
    <row r="1743" spans="1:7" x14ac:dyDescent="0.2">
      <c r="A1743" s="3">
        <v>2001</v>
      </c>
      <c r="B1743" s="3">
        <v>527</v>
      </c>
      <c r="C1743" s="3" t="str">
        <f>VLOOKUP(B1743, '[1]DAR area codes'!A:B,2,FALSE)</f>
        <v>kauai</v>
      </c>
      <c r="E1743" s="6"/>
      <c r="F1743" s="3">
        <v>0</v>
      </c>
      <c r="G1743" s="3">
        <v>2753</v>
      </c>
    </row>
    <row r="1744" spans="1:7" x14ac:dyDescent="0.2">
      <c r="A1744" s="3">
        <v>2001</v>
      </c>
      <c r="B1744" s="3">
        <v>528</v>
      </c>
      <c r="C1744" s="3" t="str">
        <f>VLOOKUP(B1744, '[1]DAR area codes'!A:B,2,FALSE)</f>
        <v>kauai</v>
      </c>
      <c r="D1744" s="4">
        <v>212</v>
      </c>
      <c r="E1744" s="6">
        <v>1424</v>
      </c>
      <c r="F1744" s="3">
        <v>0</v>
      </c>
      <c r="G1744" s="3">
        <v>16459.510000000002</v>
      </c>
    </row>
    <row r="1745" spans="1:7" x14ac:dyDescent="0.2">
      <c r="A1745" s="3">
        <v>2000</v>
      </c>
      <c r="B1745" s="3">
        <v>100</v>
      </c>
      <c r="C1745" s="3" t="str">
        <f>VLOOKUP(B1745, '[1]DAR area codes'!A:B,2,FALSE)</f>
        <v>hawaii</v>
      </c>
      <c r="D1745" s="4">
        <v>713</v>
      </c>
      <c r="E1745" s="6"/>
      <c r="F1745" s="3">
        <v>7346</v>
      </c>
      <c r="G1745" s="3">
        <v>43603</v>
      </c>
    </row>
    <row r="1746" spans="1:7" x14ac:dyDescent="0.2">
      <c r="A1746" s="3">
        <v>2000</v>
      </c>
      <c r="B1746" s="3">
        <v>101</v>
      </c>
      <c r="C1746" s="3" t="str">
        <f>VLOOKUP(B1746, '[1]DAR area codes'!A:B,2,FALSE)</f>
        <v>hawaii</v>
      </c>
      <c r="D1746" s="4">
        <v>1219</v>
      </c>
      <c r="E1746" s="6">
        <v>1907</v>
      </c>
      <c r="F1746" s="3">
        <v>174977</v>
      </c>
      <c r="G1746" s="3">
        <v>124755</v>
      </c>
    </row>
    <row r="1747" spans="1:7" x14ac:dyDescent="0.2">
      <c r="A1747" s="3">
        <v>2000</v>
      </c>
      <c r="B1747" s="3">
        <v>102</v>
      </c>
      <c r="C1747" s="3" t="str">
        <f>VLOOKUP(B1747, '[1]DAR area codes'!A:B,2,FALSE)</f>
        <v>hawaii</v>
      </c>
      <c r="D1747" s="4">
        <v>4642</v>
      </c>
      <c r="E1747" s="6">
        <v>2196</v>
      </c>
      <c r="F1747" s="3">
        <v>19270</v>
      </c>
      <c r="G1747" s="3">
        <v>57213</v>
      </c>
    </row>
    <row r="1748" spans="1:7" x14ac:dyDescent="0.2">
      <c r="A1748" s="3">
        <v>2000</v>
      </c>
      <c r="B1748" s="3">
        <v>103</v>
      </c>
      <c r="C1748" s="3" t="str">
        <f>VLOOKUP(B1748, '[1]DAR area codes'!A:B,2,FALSE)</f>
        <v>hawaii</v>
      </c>
      <c r="D1748" s="4">
        <v>6648</v>
      </c>
      <c r="E1748" s="6">
        <v>929</v>
      </c>
      <c r="F1748" s="3">
        <v>11612</v>
      </c>
      <c r="G1748" s="3">
        <v>2387</v>
      </c>
    </row>
    <row r="1749" spans="1:7" x14ac:dyDescent="0.2">
      <c r="A1749" s="3">
        <v>2000</v>
      </c>
      <c r="B1749" s="3">
        <v>104</v>
      </c>
      <c r="C1749" s="3" t="str">
        <f>VLOOKUP(B1749, '[1]DAR area codes'!A:B,2,FALSE)</f>
        <v>hawaii</v>
      </c>
      <c r="D1749" s="4">
        <v>3332</v>
      </c>
      <c r="E1749" s="6"/>
      <c r="F1749" s="3">
        <v>1839</v>
      </c>
      <c r="G1749" s="3">
        <v>1217</v>
      </c>
    </row>
    <row r="1750" spans="1:7" x14ac:dyDescent="0.2">
      <c r="A1750" s="3">
        <v>2000</v>
      </c>
      <c r="B1750" s="3">
        <v>105</v>
      </c>
      <c r="C1750" s="3" t="str">
        <f>VLOOKUP(B1750, '[1]DAR area codes'!A:B,2,FALSE)</f>
        <v>hawaii</v>
      </c>
      <c r="D1750" s="4">
        <v>4873</v>
      </c>
      <c r="E1750" s="6">
        <v>699</v>
      </c>
      <c r="F1750" s="3">
        <v>18280</v>
      </c>
      <c r="G1750" s="3">
        <v>5533</v>
      </c>
    </row>
    <row r="1751" spans="1:7" x14ac:dyDescent="0.2">
      <c r="A1751" s="3">
        <v>2000</v>
      </c>
      <c r="B1751" s="3">
        <v>106</v>
      </c>
      <c r="C1751" s="3" t="str">
        <f>VLOOKUP(B1751, '[1]DAR area codes'!A:B,2,FALSE)</f>
        <v>hawaii</v>
      </c>
      <c r="D1751" s="4">
        <v>3317</v>
      </c>
      <c r="E1751" s="6">
        <v>679</v>
      </c>
      <c r="F1751" s="3">
        <v>19380</v>
      </c>
      <c r="G1751" s="3">
        <v>43200</v>
      </c>
    </row>
    <row r="1752" spans="1:7" x14ac:dyDescent="0.2">
      <c r="A1752" s="3">
        <v>2000</v>
      </c>
      <c r="B1752" s="3">
        <v>107</v>
      </c>
      <c r="C1752" s="3" t="str">
        <f>VLOOKUP(B1752, '[1]DAR area codes'!A:B,2,FALSE)</f>
        <v>hawaii</v>
      </c>
      <c r="D1752" s="4">
        <v>1316</v>
      </c>
      <c r="E1752" s="6">
        <v>318</v>
      </c>
      <c r="F1752" s="3">
        <v>2796</v>
      </c>
      <c r="G1752" s="3">
        <v>26392</v>
      </c>
    </row>
    <row r="1753" spans="1:7" x14ac:dyDescent="0.2">
      <c r="A1753" s="3">
        <v>2000</v>
      </c>
      <c r="B1753" s="3">
        <v>108</v>
      </c>
      <c r="C1753" s="3" t="str">
        <f>VLOOKUP(B1753, '[1]DAR area codes'!A:B,2,FALSE)</f>
        <v>hawaii</v>
      </c>
      <c r="D1753" s="4">
        <v>2824</v>
      </c>
      <c r="E1753" s="6">
        <v>243</v>
      </c>
      <c r="F1753" s="3">
        <v>1625</v>
      </c>
      <c r="G1753" s="3">
        <v>18676</v>
      </c>
    </row>
    <row r="1754" spans="1:7" x14ac:dyDescent="0.2">
      <c r="A1754" s="3">
        <v>2000</v>
      </c>
      <c r="B1754" s="3">
        <v>120</v>
      </c>
      <c r="C1754" s="3" t="str">
        <f>VLOOKUP(B1754, '[1]DAR area codes'!A:B,2,FALSE)</f>
        <v>hawaii</v>
      </c>
      <c r="D1754" s="4">
        <v>529</v>
      </c>
      <c r="E1754" s="6"/>
      <c r="F1754" s="3">
        <v>0</v>
      </c>
      <c r="G1754" s="3">
        <v>109334</v>
      </c>
    </row>
    <row r="1755" spans="1:7" x14ac:dyDescent="0.2">
      <c r="A1755" s="3">
        <v>2000</v>
      </c>
      <c r="B1755" s="3">
        <v>121</v>
      </c>
      <c r="C1755" s="3" t="str">
        <f>VLOOKUP(B1755, '[1]DAR area codes'!A:B,2,FALSE)</f>
        <v>hawaii</v>
      </c>
      <c r="D1755" s="4">
        <v>6759</v>
      </c>
      <c r="E1755" s="6">
        <v>2483</v>
      </c>
      <c r="F1755" s="3">
        <v>4987</v>
      </c>
      <c r="G1755" s="3">
        <v>921510</v>
      </c>
    </row>
    <row r="1756" spans="1:7" x14ac:dyDescent="0.2">
      <c r="A1756" s="3">
        <v>2000</v>
      </c>
      <c r="B1756" s="3">
        <v>122</v>
      </c>
      <c r="C1756" s="3" t="str">
        <f>VLOOKUP(B1756, '[1]DAR area codes'!A:B,2,FALSE)</f>
        <v>hawaii</v>
      </c>
      <c r="D1756" s="4">
        <v>6601</v>
      </c>
      <c r="E1756" s="6">
        <v>4171</v>
      </c>
      <c r="F1756" s="3">
        <v>13817</v>
      </c>
      <c r="G1756" s="3">
        <v>66189</v>
      </c>
    </row>
    <row r="1757" spans="1:7" x14ac:dyDescent="0.2">
      <c r="A1757" s="3">
        <v>2000</v>
      </c>
      <c r="B1757" s="3">
        <v>123</v>
      </c>
      <c r="C1757" s="3" t="str">
        <f>VLOOKUP(B1757, '[1]DAR area codes'!A:B,2,FALSE)</f>
        <v>hawaii</v>
      </c>
      <c r="D1757" s="4">
        <v>5545</v>
      </c>
      <c r="E1757" s="6"/>
      <c r="F1757" s="3">
        <v>0</v>
      </c>
      <c r="G1757" s="3">
        <v>95344</v>
      </c>
    </row>
    <row r="1758" spans="1:7" x14ac:dyDescent="0.2">
      <c r="A1758" s="3">
        <v>2000</v>
      </c>
      <c r="B1758" s="3">
        <v>124</v>
      </c>
      <c r="C1758" s="3" t="str">
        <f>VLOOKUP(B1758, '[1]DAR area codes'!A:B,2,FALSE)</f>
        <v>hawaii</v>
      </c>
      <c r="E1758" s="6"/>
      <c r="F1758" s="3">
        <v>0</v>
      </c>
      <c r="G1758" s="3">
        <v>27553</v>
      </c>
    </row>
    <row r="1759" spans="1:7" x14ac:dyDescent="0.2">
      <c r="A1759" s="3">
        <v>2000</v>
      </c>
      <c r="B1759" s="3">
        <v>125</v>
      </c>
      <c r="C1759" s="3" t="str">
        <f>VLOOKUP(B1759, '[1]DAR area codes'!A:B,2,FALSE)</f>
        <v>hawaii</v>
      </c>
      <c r="D1759" s="4">
        <v>6570</v>
      </c>
      <c r="E1759" s="6"/>
      <c r="F1759" s="3">
        <v>2272</v>
      </c>
      <c r="G1759" s="3">
        <v>80420</v>
      </c>
    </row>
    <row r="1760" spans="1:7" x14ac:dyDescent="0.2">
      <c r="A1760" s="3">
        <v>2000</v>
      </c>
      <c r="B1760" s="3">
        <v>126</v>
      </c>
      <c r="C1760" s="3" t="str">
        <f>VLOOKUP(B1760, '[1]DAR area codes'!A:B,2,FALSE)</f>
        <v>hawaii</v>
      </c>
      <c r="D1760" s="4">
        <v>9398</v>
      </c>
      <c r="E1760" s="6">
        <v>564</v>
      </c>
      <c r="F1760" s="3">
        <v>1367</v>
      </c>
      <c r="G1760" s="3">
        <v>325251</v>
      </c>
    </row>
    <row r="1761" spans="1:7" x14ac:dyDescent="0.2">
      <c r="A1761" s="3">
        <v>2000</v>
      </c>
      <c r="B1761" s="3">
        <v>127</v>
      </c>
      <c r="C1761" s="3" t="str">
        <f>VLOOKUP(B1761, '[1]DAR area codes'!A:B,2,FALSE)</f>
        <v>hawaii</v>
      </c>
      <c r="D1761" s="4">
        <v>3398</v>
      </c>
      <c r="E1761" s="6"/>
      <c r="F1761" s="3">
        <v>0</v>
      </c>
      <c r="G1761" s="3">
        <v>87036</v>
      </c>
    </row>
    <row r="1762" spans="1:7" x14ac:dyDescent="0.2">
      <c r="A1762" s="3">
        <v>2000</v>
      </c>
      <c r="B1762" s="3">
        <v>128</v>
      </c>
      <c r="C1762" s="3" t="str">
        <f>VLOOKUP(B1762, '[1]DAR area codes'!A:B,2,FALSE)</f>
        <v>hawaii</v>
      </c>
      <c r="D1762" s="4">
        <v>1441.5</v>
      </c>
      <c r="E1762" s="6"/>
      <c r="F1762" s="3">
        <v>0</v>
      </c>
      <c r="G1762" s="3">
        <v>6490</v>
      </c>
    </row>
    <row r="1763" spans="1:7" x14ac:dyDescent="0.2">
      <c r="A1763" s="3">
        <v>2000</v>
      </c>
      <c r="B1763" s="3">
        <v>300</v>
      </c>
      <c r="C1763" s="3" t="str">
        <f>VLOOKUP(B1763, '[1]DAR area codes'!A:B,2,FALSE)</f>
        <v>maui</v>
      </c>
      <c r="D1763" s="4">
        <v>1313</v>
      </c>
      <c r="E1763" s="6">
        <v>1145</v>
      </c>
      <c r="F1763" s="3">
        <v>73982</v>
      </c>
      <c r="G1763" s="3">
        <v>1113</v>
      </c>
    </row>
    <row r="1764" spans="1:7" x14ac:dyDescent="0.2">
      <c r="A1764" s="3">
        <v>2000</v>
      </c>
      <c r="B1764" s="3">
        <v>301</v>
      </c>
      <c r="C1764" s="3" t="str">
        <f>VLOOKUP(B1764, '[1]DAR area codes'!A:B,2,FALSE)</f>
        <v>maui</v>
      </c>
      <c r="D1764" s="4">
        <v>1469</v>
      </c>
      <c r="E1764" s="6">
        <v>1553</v>
      </c>
      <c r="F1764" s="3">
        <v>31123</v>
      </c>
      <c r="G1764" s="3">
        <v>197</v>
      </c>
    </row>
    <row r="1765" spans="1:7" x14ac:dyDescent="0.2">
      <c r="A1765" s="3">
        <v>2000</v>
      </c>
      <c r="B1765" s="3">
        <v>302</v>
      </c>
      <c r="C1765" s="3" t="str">
        <f>VLOOKUP(B1765, '[1]DAR area codes'!A:B,2,FALSE)</f>
        <v>maui</v>
      </c>
      <c r="D1765" s="4">
        <v>822</v>
      </c>
      <c r="E1765" s="6">
        <v>772</v>
      </c>
      <c r="F1765" s="3">
        <v>10499</v>
      </c>
      <c r="G1765" s="3">
        <v>3307</v>
      </c>
    </row>
    <row r="1766" spans="1:7" x14ac:dyDescent="0.2">
      <c r="A1766" s="3">
        <v>2000</v>
      </c>
      <c r="B1766" s="3">
        <v>303</v>
      </c>
      <c r="C1766" s="3" t="str">
        <f>VLOOKUP(B1766, '[1]DAR area codes'!A:B,2,FALSE)</f>
        <v>maui</v>
      </c>
      <c r="D1766" s="4">
        <v>5287</v>
      </c>
      <c r="E1766" s="6">
        <v>550</v>
      </c>
      <c r="F1766" s="3">
        <v>10561</v>
      </c>
      <c r="G1766" s="3">
        <v>5403</v>
      </c>
    </row>
    <row r="1767" spans="1:7" x14ac:dyDescent="0.2">
      <c r="A1767" s="3">
        <v>2000</v>
      </c>
      <c r="B1767" s="3">
        <v>304</v>
      </c>
      <c r="C1767" s="3" t="str">
        <f>VLOOKUP(B1767, '[1]DAR area codes'!A:B,2,FALSE)</f>
        <v>maui</v>
      </c>
      <c r="D1767" s="4">
        <v>4834</v>
      </c>
      <c r="E1767" s="6">
        <v>2136</v>
      </c>
      <c r="F1767" s="3">
        <v>397</v>
      </c>
      <c r="G1767" s="3">
        <v>2959</v>
      </c>
    </row>
    <row r="1768" spans="1:7" x14ac:dyDescent="0.2">
      <c r="A1768" s="3">
        <v>2000</v>
      </c>
      <c r="B1768" s="3">
        <v>305</v>
      </c>
      <c r="C1768" s="3" t="str">
        <f>VLOOKUP(B1768, '[1]DAR area codes'!A:B,2,FALSE)</f>
        <v>maui</v>
      </c>
      <c r="D1768" s="4">
        <v>6137</v>
      </c>
      <c r="E1768" s="6">
        <v>2722</v>
      </c>
      <c r="F1768" s="3">
        <v>5005</v>
      </c>
      <c r="G1768" s="3">
        <v>2555</v>
      </c>
    </row>
    <row r="1769" spans="1:7" x14ac:dyDescent="0.2">
      <c r="A1769" s="3">
        <v>2000</v>
      </c>
      <c r="B1769" s="3">
        <v>306</v>
      </c>
      <c r="C1769" s="3" t="str">
        <f>VLOOKUP(B1769, '[1]DAR area codes'!A:B,2,FALSE)</f>
        <v>maui</v>
      </c>
      <c r="D1769" s="4">
        <v>2983</v>
      </c>
      <c r="E1769" s="6"/>
      <c r="F1769" s="3">
        <v>0</v>
      </c>
      <c r="G1769" s="3">
        <v>3812</v>
      </c>
    </row>
    <row r="1770" spans="1:7" x14ac:dyDescent="0.2">
      <c r="A1770" s="3">
        <v>2000</v>
      </c>
      <c r="B1770" s="3">
        <v>307</v>
      </c>
      <c r="C1770" s="3" t="str">
        <f>VLOOKUP(B1770, '[1]DAR area codes'!A:B,2,FALSE)</f>
        <v>maui</v>
      </c>
      <c r="E1770" s="6"/>
      <c r="F1770" s="3">
        <v>0</v>
      </c>
      <c r="G1770" s="3">
        <v>519</v>
      </c>
    </row>
    <row r="1771" spans="1:7" x14ac:dyDescent="0.2">
      <c r="A1771" s="3">
        <v>2000</v>
      </c>
      <c r="B1771" s="3">
        <v>308</v>
      </c>
      <c r="C1771" s="3" t="str">
        <f>VLOOKUP(B1771, '[1]DAR area codes'!A:B,2,FALSE)</f>
        <v>maui</v>
      </c>
      <c r="D1771" s="4">
        <v>4168</v>
      </c>
      <c r="E1771" s="6">
        <v>3959</v>
      </c>
      <c r="F1771" s="3">
        <v>92272</v>
      </c>
      <c r="G1771" s="3">
        <v>10786</v>
      </c>
    </row>
    <row r="1772" spans="1:7" x14ac:dyDescent="0.2">
      <c r="A1772" s="3">
        <v>2000</v>
      </c>
      <c r="B1772" s="3">
        <v>309</v>
      </c>
      <c r="C1772" s="3" t="str">
        <f>VLOOKUP(B1772, '[1]DAR area codes'!A:B,2,FALSE)</f>
        <v>maui</v>
      </c>
      <c r="D1772" s="4">
        <v>494</v>
      </c>
      <c r="E1772" s="6">
        <v>420</v>
      </c>
      <c r="F1772" s="3">
        <v>689</v>
      </c>
      <c r="G1772" s="3">
        <v>1037</v>
      </c>
    </row>
    <row r="1773" spans="1:7" x14ac:dyDescent="0.2">
      <c r="A1773" s="3">
        <v>2000</v>
      </c>
      <c r="B1773" s="3">
        <v>310</v>
      </c>
      <c r="C1773" s="3" t="str">
        <f>VLOOKUP(B1773, '[1]DAR area codes'!A:B,2,FALSE)</f>
        <v>maui</v>
      </c>
      <c r="D1773" s="4">
        <v>3033.84</v>
      </c>
      <c r="E1773" s="6"/>
      <c r="F1773" s="3">
        <v>5188</v>
      </c>
      <c r="G1773" s="3">
        <v>401</v>
      </c>
    </row>
    <row r="1774" spans="1:7" x14ac:dyDescent="0.2">
      <c r="A1774" s="3">
        <v>2000</v>
      </c>
      <c r="B1774" s="3">
        <v>311</v>
      </c>
      <c r="C1774" s="3" t="str">
        <f>VLOOKUP(B1774, '[1]DAR area codes'!A:B,2,FALSE)</f>
        <v>maui</v>
      </c>
      <c r="E1774" s="6"/>
      <c r="F1774" s="3">
        <v>0</v>
      </c>
      <c r="G1774" s="3">
        <v>572</v>
      </c>
    </row>
    <row r="1775" spans="1:7" x14ac:dyDescent="0.2">
      <c r="A1775" s="3">
        <v>2000</v>
      </c>
      <c r="B1775" s="3">
        <v>312</v>
      </c>
      <c r="C1775" s="3" t="str">
        <f>VLOOKUP(B1775, '[1]DAR area codes'!A:B,2,FALSE)</f>
        <v>maui</v>
      </c>
      <c r="E1775" s="6"/>
      <c r="F1775" s="3">
        <v>0</v>
      </c>
      <c r="G1775" s="3">
        <v>0</v>
      </c>
    </row>
    <row r="1776" spans="1:7" x14ac:dyDescent="0.2">
      <c r="A1776" s="3">
        <v>2000</v>
      </c>
      <c r="B1776" s="3">
        <v>313</v>
      </c>
      <c r="C1776" s="3" t="str">
        <f>VLOOKUP(B1776, '[1]DAR area codes'!A:B,2,FALSE)</f>
        <v>maui</v>
      </c>
      <c r="D1776" s="4">
        <v>9362.19</v>
      </c>
      <c r="E1776" s="6">
        <v>590</v>
      </c>
      <c r="F1776" s="3">
        <v>656</v>
      </c>
      <c r="G1776" s="3">
        <v>1369</v>
      </c>
    </row>
    <row r="1777" spans="1:7" x14ac:dyDescent="0.2">
      <c r="A1777" s="3">
        <v>2000</v>
      </c>
      <c r="B1777" s="3">
        <v>314</v>
      </c>
      <c r="C1777" s="3" t="str">
        <f>VLOOKUP(B1777, '[1]DAR area codes'!A:B,2,FALSE)</f>
        <v>maui</v>
      </c>
      <c r="D1777" s="4">
        <v>875</v>
      </c>
      <c r="E1777" s="6">
        <v>530</v>
      </c>
      <c r="F1777" s="3">
        <v>1170</v>
      </c>
      <c r="G1777" s="3">
        <v>1253</v>
      </c>
    </row>
    <row r="1778" spans="1:7" x14ac:dyDescent="0.2">
      <c r="A1778" s="3">
        <v>2000</v>
      </c>
      <c r="B1778" s="3">
        <v>320</v>
      </c>
      <c r="C1778" s="3" t="str">
        <f>VLOOKUP(B1778, '[1]DAR area codes'!A:B,2,FALSE)</f>
        <v>maui</v>
      </c>
      <c r="D1778" s="4">
        <v>38630</v>
      </c>
      <c r="E1778" s="6">
        <v>6615</v>
      </c>
      <c r="F1778" s="3">
        <v>6808</v>
      </c>
      <c r="G1778" s="3">
        <v>31903</v>
      </c>
    </row>
    <row r="1779" spans="1:7" x14ac:dyDescent="0.2">
      <c r="A1779" s="3">
        <v>2000</v>
      </c>
      <c r="B1779" s="3">
        <v>321</v>
      </c>
      <c r="C1779" s="3" t="str">
        <f>VLOOKUP(B1779, '[1]DAR area codes'!A:B,2,FALSE)</f>
        <v>maui</v>
      </c>
      <c r="D1779" s="4">
        <v>16705.03</v>
      </c>
      <c r="E1779" s="6">
        <v>3090.53</v>
      </c>
      <c r="F1779" s="3">
        <v>3838</v>
      </c>
      <c r="G1779" s="3">
        <v>3207</v>
      </c>
    </row>
    <row r="1780" spans="1:7" x14ac:dyDescent="0.2">
      <c r="A1780" s="3">
        <v>2000</v>
      </c>
      <c r="B1780" s="3">
        <v>322</v>
      </c>
      <c r="C1780" s="3" t="str">
        <f>VLOOKUP(B1780, '[1]DAR area codes'!A:B,2,FALSE)</f>
        <v>maui</v>
      </c>
      <c r="D1780" s="4">
        <v>1509</v>
      </c>
      <c r="E1780" s="6"/>
      <c r="F1780" s="3">
        <v>0</v>
      </c>
      <c r="G1780" s="3">
        <v>4409</v>
      </c>
    </row>
    <row r="1781" spans="1:7" x14ac:dyDescent="0.2">
      <c r="A1781" s="3">
        <v>2000</v>
      </c>
      <c r="B1781" s="3">
        <v>323</v>
      </c>
      <c r="C1781" s="3" t="str">
        <f>VLOOKUP(B1781, '[1]DAR area codes'!A:B,2,FALSE)</f>
        <v>maui</v>
      </c>
      <c r="D1781" s="4">
        <v>1870</v>
      </c>
      <c r="E1781" s="6"/>
      <c r="F1781" s="3">
        <v>0</v>
      </c>
      <c r="G1781" s="3">
        <v>46727</v>
      </c>
    </row>
    <row r="1782" spans="1:7" x14ac:dyDescent="0.2">
      <c r="A1782" s="3">
        <v>2000</v>
      </c>
      <c r="B1782" s="3">
        <v>324</v>
      </c>
      <c r="C1782" s="3" t="str">
        <f>VLOOKUP(B1782, '[1]DAR area codes'!A:B,2,FALSE)</f>
        <v>maui</v>
      </c>
      <c r="D1782" s="4">
        <v>2480</v>
      </c>
      <c r="E1782" s="6"/>
      <c r="F1782" s="3">
        <v>0</v>
      </c>
      <c r="G1782" s="3">
        <v>21389</v>
      </c>
    </row>
    <row r="1783" spans="1:7" x14ac:dyDescent="0.2">
      <c r="A1783" s="3">
        <v>2000</v>
      </c>
      <c r="B1783" s="3">
        <v>325</v>
      </c>
      <c r="C1783" s="3" t="str">
        <f>VLOOKUP(B1783, '[1]DAR area codes'!A:B,2,FALSE)</f>
        <v>maui</v>
      </c>
      <c r="D1783" s="4">
        <v>1491</v>
      </c>
      <c r="E1783" s="6"/>
      <c r="F1783" s="3">
        <v>0</v>
      </c>
      <c r="G1783" s="3">
        <v>7777</v>
      </c>
    </row>
    <row r="1784" spans="1:7" x14ac:dyDescent="0.2">
      <c r="A1784" s="3">
        <v>2000</v>
      </c>
      <c r="B1784" s="3">
        <v>326</v>
      </c>
      <c r="C1784" s="3" t="str">
        <f>VLOOKUP(B1784, '[1]DAR area codes'!A:B,2,FALSE)</f>
        <v>maui</v>
      </c>
      <c r="E1784" s="6"/>
      <c r="F1784" s="3">
        <v>0</v>
      </c>
      <c r="G1784" s="3">
        <v>4379</v>
      </c>
    </row>
    <row r="1785" spans="1:7" x14ac:dyDescent="0.2">
      <c r="A1785" s="3">
        <v>2000</v>
      </c>
      <c r="B1785" s="3">
        <v>327</v>
      </c>
      <c r="C1785" s="3" t="str">
        <f>VLOOKUP(B1785, '[1]DAR area codes'!A:B,2,FALSE)</f>
        <v>maui</v>
      </c>
      <c r="D1785" s="4">
        <v>23805</v>
      </c>
      <c r="E1785" s="6">
        <v>1604</v>
      </c>
      <c r="F1785" s="3">
        <v>239</v>
      </c>
      <c r="G1785" s="3">
        <v>28126</v>
      </c>
    </row>
    <row r="1786" spans="1:7" x14ac:dyDescent="0.2">
      <c r="A1786" s="3">
        <v>2000</v>
      </c>
      <c r="B1786" s="3">
        <v>328</v>
      </c>
      <c r="C1786" s="3" t="str">
        <f>VLOOKUP(B1786, '[1]DAR area codes'!A:B,2,FALSE)</f>
        <v>maui</v>
      </c>
      <c r="D1786" s="4">
        <v>9618</v>
      </c>
      <c r="E1786" s="6">
        <v>2893</v>
      </c>
      <c r="F1786" s="3">
        <v>0</v>
      </c>
      <c r="G1786" s="3">
        <v>63432</v>
      </c>
    </row>
    <row r="1787" spans="1:7" x14ac:dyDescent="0.2">
      <c r="A1787" s="3">
        <v>2000</v>
      </c>
      <c r="B1787" s="3">
        <v>331</v>
      </c>
      <c r="C1787" s="3" t="str">
        <f>VLOOKUP(B1787, '[1]DAR area codes'!A:B,2,FALSE)</f>
        <v>maui</v>
      </c>
      <c r="D1787" s="4">
        <v>45926.11</v>
      </c>
      <c r="E1787" s="6">
        <v>43028.77</v>
      </c>
      <c r="F1787" s="3">
        <v>1554</v>
      </c>
      <c r="G1787" s="3">
        <v>36429</v>
      </c>
    </row>
    <row r="1788" spans="1:7" x14ac:dyDescent="0.2">
      <c r="A1788" s="3">
        <v>2000</v>
      </c>
      <c r="B1788" s="3">
        <v>332</v>
      </c>
      <c r="C1788" s="3" t="str">
        <f>VLOOKUP(B1788, '[1]DAR area codes'!A:B,2,FALSE)</f>
        <v>maui</v>
      </c>
      <c r="D1788" s="4">
        <v>795</v>
      </c>
      <c r="E1788" s="6"/>
      <c r="F1788" s="3">
        <v>0</v>
      </c>
      <c r="G1788" s="3">
        <v>76735</v>
      </c>
    </row>
    <row r="1789" spans="1:7" x14ac:dyDescent="0.2">
      <c r="A1789" s="3">
        <v>2000</v>
      </c>
      <c r="B1789" s="3">
        <v>333</v>
      </c>
      <c r="C1789" s="3" t="str">
        <f>VLOOKUP(B1789, '[1]DAR area codes'!A:B,2,FALSE)</f>
        <v>maui</v>
      </c>
      <c r="E1789" s="6"/>
      <c r="F1789" s="3">
        <v>0</v>
      </c>
      <c r="G1789" s="3">
        <v>5325</v>
      </c>
    </row>
    <row r="1790" spans="1:7" x14ac:dyDescent="0.2">
      <c r="A1790" s="3">
        <v>2000</v>
      </c>
      <c r="B1790" s="3">
        <v>400</v>
      </c>
      <c r="C1790" s="3" t="str">
        <f>VLOOKUP(B1790, '[1]DAR area codes'!A:B,2,FALSE)</f>
        <v>oahu</v>
      </c>
      <c r="D1790" s="4">
        <v>231</v>
      </c>
      <c r="E1790" s="6"/>
      <c r="F1790" s="3">
        <v>50980</v>
      </c>
      <c r="G1790" s="3">
        <v>386</v>
      </c>
    </row>
    <row r="1791" spans="1:7" x14ac:dyDescent="0.2">
      <c r="A1791" s="3">
        <v>2000</v>
      </c>
      <c r="B1791" s="3">
        <v>401</v>
      </c>
      <c r="C1791" s="3" t="str">
        <f>VLOOKUP(B1791, '[1]DAR area codes'!A:B,2,FALSE)</f>
        <v>oahu</v>
      </c>
      <c r="D1791" s="4">
        <v>116</v>
      </c>
      <c r="E1791" s="6">
        <v>962</v>
      </c>
      <c r="F1791" s="3">
        <v>93984</v>
      </c>
      <c r="G1791" s="3">
        <v>1525</v>
      </c>
    </row>
    <row r="1792" spans="1:7" x14ac:dyDescent="0.2">
      <c r="A1792" s="3">
        <v>2000</v>
      </c>
      <c r="B1792" s="3">
        <v>402</v>
      </c>
      <c r="C1792" s="3" t="str">
        <f>VLOOKUP(B1792, '[1]DAR area codes'!A:B,2,FALSE)</f>
        <v>oahu</v>
      </c>
      <c r="D1792" s="4">
        <v>273</v>
      </c>
      <c r="E1792" s="6">
        <v>316</v>
      </c>
      <c r="F1792" s="3">
        <v>53533</v>
      </c>
      <c r="G1792" s="3">
        <v>6440</v>
      </c>
    </row>
    <row r="1793" spans="1:7" x14ac:dyDescent="0.2">
      <c r="A1793" s="3">
        <v>2000</v>
      </c>
      <c r="B1793" s="3">
        <v>403</v>
      </c>
      <c r="C1793" s="3" t="str">
        <f>VLOOKUP(B1793, '[1]DAR area codes'!A:B,2,FALSE)</f>
        <v>oahu</v>
      </c>
      <c r="D1793" s="4">
        <v>516</v>
      </c>
      <c r="E1793" s="6">
        <v>4722</v>
      </c>
      <c r="F1793" s="3">
        <v>195906</v>
      </c>
      <c r="G1793" s="3">
        <v>26067</v>
      </c>
    </row>
    <row r="1794" spans="1:7" x14ac:dyDescent="0.2">
      <c r="A1794" s="3">
        <v>2000</v>
      </c>
      <c r="B1794" s="3">
        <v>404</v>
      </c>
      <c r="C1794" s="3" t="str">
        <f>VLOOKUP(B1794, '[1]DAR area codes'!A:B,2,FALSE)</f>
        <v>oahu</v>
      </c>
      <c r="D1794" s="4">
        <v>1478</v>
      </c>
      <c r="E1794" s="6">
        <v>2735</v>
      </c>
      <c r="F1794" s="3">
        <v>120159</v>
      </c>
      <c r="G1794" s="3">
        <v>3733</v>
      </c>
    </row>
    <row r="1795" spans="1:7" x14ac:dyDescent="0.2">
      <c r="A1795" s="3">
        <v>2000</v>
      </c>
      <c r="B1795" s="3">
        <v>405</v>
      </c>
      <c r="C1795" s="3" t="str">
        <f>VLOOKUP(B1795, '[1]DAR area codes'!A:B,2,FALSE)</f>
        <v>oahu</v>
      </c>
      <c r="D1795" s="4">
        <v>737</v>
      </c>
      <c r="E1795" s="6">
        <v>2564</v>
      </c>
      <c r="F1795" s="3">
        <v>19179</v>
      </c>
      <c r="G1795" s="3">
        <v>3760</v>
      </c>
    </row>
    <row r="1796" spans="1:7" x14ac:dyDescent="0.2">
      <c r="A1796" s="3">
        <v>2000</v>
      </c>
      <c r="B1796" s="3">
        <v>406</v>
      </c>
      <c r="C1796" s="3" t="str">
        <f>VLOOKUP(B1796, '[1]DAR area codes'!A:B,2,FALSE)</f>
        <v>oahu</v>
      </c>
      <c r="E1796" s="6"/>
      <c r="F1796" s="3">
        <v>1317</v>
      </c>
      <c r="G1796" s="3">
        <v>0</v>
      </c>
    </row>
    <row r="1797" spans="1:7" x14ac:dyDescent="0.2">
      <c r="A1797" s="3">
        <v>2000</v>
      </c>
      <c r="B1797" s="3">
        <v>407</v>
      </c>
      <c r="C1797" s="3" t="str">
        <f>VLOOKUP(B1797, '[1]DAR area codes'!A:B,2,FALSE)</f>
        <v>oahu</v>
      </c>
      <c r="D1797" s="4">
        <v>518</v>
      </c>
      <c r="E1797" s="6"/>
      <c r="F1797" s="3">
        <v>26743</v>
      </c>
      <c r="G1797" s="3">
        <v>742</v>
      </c>
    </row>
    <row r="1798" spans="1:7" x14ac:dyDescent="0.2">
      <c r="A1798" s="3">
        <v>2000</v>
      </c>
      <c r="B1798" s="3">
        <v>408</v>
      </c>
      <c r="C1798" s="3" t="str">
        <f>VLOOKUP(B1798, '[1]DAR area codes'!A:B,2,FALSE)</f>
        <v>oahu</v>
      </c>
      <c r="D1798" s="4">
        <v>165</v>
      </c>
      <c r="E1798" s="6"/>
      <c r="F1798" s="3">
        <v>29152</v>
      </c>
      <c r="G1798" s="3">
        <v>254</v>
      </c>
    </row>
    <row r="1799" spans="1:7" x14ac:dyDescent="0.2">
      <c r="A1799" s="3">
        <v>2000</v>
      </c>
      <c r="B1799" s="3">
        <v>409</v>
      </c>
      <c r="C1799" s="3" t="str">
        <f>VLOOKUP(B1799, '[1]DAR area codes'!A:B,2,FALSE)</f>
        <v>oahu</v>
      </c>
      <c r="D1799" s="4">
        <v>144</v>
      </c>
      <c r="E1799" s="6">
        <v>532</v>
      </c>
      <c r="F1799" s="3">
        <v>15473</v>
      </c>
      <c r="G1799" s="3">
        <v>393</v>
      </c>
    </row>
    <row r="1800" spans="1:7" x14ac:dyDescent="0.2">
      <c r="A1800" s="3">
        <v>2000</v>
      </c>
      <c r="B1800" s="3">
        <v>420</v>
      </c>
      <c r="C1800" s="3" t="str">
        <f>VLOOKUP(B1800, '[1]DAR area codes'!A:B,2,FALSE)</f>
        <v>oahu</v>
      </c>
      <c r="D1800" s="4">
        <v>63</v>
      </c>
      <c r="E1800" s="6"/>
      <c r="F1800" s="3">
        <v>0</v>
      </c>
      <c r="G1800" s="3">
        <v>38640</v>
      </c>
    </row>
    <row r="1801" spans="1:7" x14ac:dyDescent="0.2">
      <c r="A1801" s="3">
        <v>2000</v>
      </c>
      <c r="B1801" s="3">
        <v>421</v>
      </c>
      <c r="C1801" s="3" t="str">
        <f>VLOOKUP(B1801, '[1]DAR area codes'!A:B,2,FALSE)</f>
        <v>oahu</v>
      </c>
      <c r="D1801" s="4">
        <v>1130</v>
      </c>
      <c r="E1801" s="6"/>
      <c r="F1801" s="3">
        <v>0</v>
      </c>
      <c r="G1801" s="3">
        <v>134434.5</v>
      </c>
    </row>
    <row r="1802" spans="1:7" x14ac:dyDescent="0.2">
      <c r="A1802" s="3">
        <v>2000</v>
      </c>
      <c r="B1802" s="3">
        <v>422</v>
      </c>
      <c r="C1802" s="3" t="str">
        <f>VLOOKUP(B1802, '[1]DAR area codes'!A:B,2,FALSE)</f>
        <v>oahu</v>
      </c>
      <c r="E1802" s="6">
        <v>529</v>
      </c>
      <c r="F1802" s="3">
        <v>0</v>
      </c>
      <c r="G1802" s="3">
        <v>108317</v>
      </c>
    </row>
    <row r="1803" spans="1:7" x14ac:dyDescent="0.2">
      <c r="A1803" s="3">
        <v>2000</v>
      </c>
      <c r="B1803" s="3">
        <v>423</v>
      </c>
      <c r="C1803" s="3" t="str">
        <f>VLOOKUP(B1803, '[1]DAR area codes'!A:B,2,FALSE)</f>
        <v>oahu</v>
      </c>
      <c r="D1803" s="4">
        <v>5140</v>
      </c>
      <c r="E1803" s="6">
        <v>2093</v>
      </c>
      <c r="F1803" s="3">
        <v>5807</v>
      </c>
      <c r="G1803" s="3">
        <v>266505</v>
      </c>
    </row>
    <row r="1804" spans="1:7" x14ac:dyDescent="0.2">
      <c r="A1804" s="3">
        <v>2000</v>
      </c>
      <c r="B1804" s="3">
        <v>424</v>
      </c>
      <c r="C1804" s="3" t="str">
        <f>VLOOKUP(B1804, '[1]DAR area codes'!A:B,2,FALSE)</f>
        <v>oahu</v>
      </c>
      <c r="D1804" s="4">
        <v>4035</v>
      </c>
      <c r="E1804" s="6">
        <v>1064</v>
      </c>
      <c r="F1804" s="3">
        <v>0</v>
      </c>
      <c r="G1804" s="3">
        <v>88978</v>
      </c>
    </row>
    <row r="1805" spans="1:7" x14ac:dyDescent="0.2">
      <c r="A1805" s="3">
        <v>2000</v>
      </c>
      <c r="B1805" s="3">
        <v>425</v>
      </c>
      <c r="C1805" s="3" t="str">
        <f>VLOOKUP(B1805, '[1]DAR area codes'!A:B,2,FALSE)</f>
        <v>oahu</v>
      </c>
      <c r="D1805" s="4">
        <v>4180</v>
      </c>
      <c r="E1805" s="6">
        <v>2649</v>
      </c>
      <c r="F1805" s="3">
        <v>0</v>
      </c>
      <c r="G1805" s="3">
        <v>172649</v>
      </c>
    </row>
    <row r="1806" spans="1:7" x14ac:dyDescent="0.2">
      <c r="A1806" s="3">
        <v>2000</v>
      </c>
      <c r="B1806" s="3">
        <v>426</v>
      </c>
      <c r="C1806" s="3" t="str">
        <f>VLOOKUP(B1806, '[1]DAR area codes'!A:B,2,FALSE)</f>
        <v>oahu</v>
      </c>
      <c r="D1806" s="4">
        <v>374</v>
      </c>
      <c r="E1806" s="6"/>
      <c r="F1806" s="3">
        <v>0</v>
      </c>
      <c r="G1806" s="3">
        <v>140815</v>
      </c>
    </row>
    <row r="1807" spans="1:7" x14ac:dyDescent="0.2">
      <c r="A1807" s="3">
        <v>2000</v>
      </c>
      <c r="B1807" s="3">
        <v>427</v>
      </c>
      <c r="C1807" s="3" t="str">
        <f>VLOOKUP(B1807, '[1]DAR area codes'!A:B,2,FALSE)</f>
        <v>oahu</v>
      </c>
      <c r="D1807" s="4">
        <v>148</v>
      </c>
      <c r="E1807" s="6"/>
      <c r="F1807" s="3">
        <v>0</v>
      </c>
      <c r="G1807" s="3">
        <v>346448</v>
      </c>
    </row>
    <row r="1808" spans="1:7" x14ac:dyDescent="0.2">
      <c r="A1808" s="3">
        <v>2000</v>
      </c>
      <c r="B1808" s="3">
        <v>428</v>
      </c>
      <c r="C1808" s="3" t="str">
        <f>VLOOKUP(B1808, '[1]DAR area codes'!A:B,2,FALSE)</f>
        <v>oahu</v>
      </c>
      <c r="D1808" s="4">
        <v>1883</v>
      </c>
      <c r="E1808" s="6">
        <v>1038</v>
      </c>
      <c r="F1808" s="3">
        <v>0</v>
      </c>
      <c r="G1808" s="3">
        <v>71667</v>
      </c>
    </row>
    <row r="1809" spans="1:7" x14ac:dyDescent="0.2">
      <c r="A1809" s="3">
        <v>2000</v>
      </c>
      <c r="B1809" s="3">
        <v>429</v>
      </c>
      <c r="C1809" s="3" t="str">
        <f>VLOOKUP(B1809, '[1]DAR area codes'!A:B,2,FALSE)</f>
        <v>oahu</v>
      </c>
      <c r="D1809" s="4">
        <v>3737.33</v>
      </c>
      <c r="E1809" s="6">
        <v>616</v>
      </c>
      <c r="F1809" s="3">
        <v>32</v>
      </c>
      <c r="G1809" s="3">
        <v>9587.67</v>
      </c>
    </row>
    <row r="1810" spans="1:7" x14ac:dyDescent="0.2">
      <c r="A1810" s="3">
        <v>2000</v>
      </c>
      <c r="B1810" s="3">
        <v>500</v>
      </c>
      <c r="C1810" s="3" t="str">
        <f>VLOOKUP(B1810, '[1]DAR area codes'!A:B,2,FALSE)</f>
        <v>kauai</v>
      </c>
      <c r="D1810" s="4">
        <v>3348</v>
      </c>
      <c r="E1810" s="6">
        <v>7541</v>
      </c>
      <c r="F1810" s="3">
        <v>380148.5</v>
      </c>
      <c r="G1810" s="3">
        <v>16128.7</v>
      </c>
    </row>
    <row r="1811" spans="1:7" x14ac:dyDescent="0.2">
      <c r="A1811" s="3">
        <v>2000</v>
      </c>
      <c r="B1811" s="3">
        <v>501</v>
      </c>
      <c r="C1811" s="3" t="str">
        <f>VLOOKUP(B1811, '[1]DAR area codes'!A:B,2,FALSE)</f>
        <v>kauai</v>
      </c>
      <c r="E1811" s="6">
        <v>589</v>
      </c>
      <c r="F1811" s="3">
        <v>1625</v>
      </c>
      <c r="G1811" s="3">
        <v>4275</v>
      </c>
    </row>
    <row r="1812" spans="1:7" x14ac:dyDescent="0.2">
      <c r="A1812" s="3">
        <v>2000</v>
      </c>
      <c r="B1812" s="3">
        <v>502</v>
      </c>
      <c r="C1812" s="3" t="str">
        <f>VLOOKUP(B1812, '[1]DAR area codes'!A:B,2,FALSE)</f>
        <v>kauai</v>
      </c>
      <c r="E1812" s="6"/>
      <c r="F1812" s="3">
        <v>0</v>
      </c>
      <c r="G1812" s="3">
        <v>1431</v>
      </c>
    </row>
    <row r="1813" spans="1:7" x14ac:dyDescent="0.2">
      <c r="A1813" s="3">
        <v>2000</v>
      </c>
      <c r="B1813" s="3">
        <v>503</v>
      </c>
      <c r="C1813" s="3" t="str">
        <f>VLOOKUP(B1813, '[1]DAR area codes'!A:B,2,FALSE)</f>
        <v>kauai</v>
      </c>
      <c r="D1813" s="4">
        <v>300</v>
      </c>
      <c r="E1813" s="6">
        <v>1204</v>
      </c>
      <c r="F1813" s="3">
        <v>44650</v>
      </c>
      <c r="G1813" s="3">
        <v>4399</v>
      </c>
    </row>
    <row r="1814" spans="1:7" x14ac:dyDescent="0.2">
      <c r="A1814" s="3">
        <v>2000</v>
      </c>
      <c r="B1814" s="3">
        <v>504</v>
      </c>
      <c r="C1814" s="3" t="str">
        <f>VLOOKUP(B1814, '[1]DAR area codes'!A:B,2,FALSE)</f>
        <v>kauai</v>
      </c>
      <c r="D1814" s="4">
        <v>758</v>
      </c>
      <c r="E1814" s="6">
        <v>4273</v>
      </c>
      <c r="F1814" s="3">
        <v>54993</v>
      </c>
      <c r="G1814" s="3">
        <v>13672</v>
      </c>
    </row>
    <row r="1815" spans="1:7" x14ac:dyDescent="0.2">
      <c r="A1815" s="3">
        <v>2000</v>
      </c>
      <c r="B1815" s="3">
        <v>505</v>
      </c>
      <c r="C1815" s="3" t="str">
        <f>VLOOKUP(B1815, '[1]DAR area codes'!A:B,2,FALSE)</f>
        <v>kauai</v>
      </c>
      <c r="D1815" s="4">
        <v>3125</v>
      </c>
      <c r="E1815" s="6">
        <v>873</v>
      </c>
      <c r="F1815" s="3">
        <v>634.5</v>
      </c>
      <c r="G1815" s="3">
        <v>26978</v>
      </c>
    </row>
    <row r="1816" spans="1:7" x14ac:dyDescent="0.2">
      <c r="A1816" s="3">
        <v>2000</v>
      </c>
      <c r="B1816" s="3">
        <v>506</v>
      </c>
      <c r="C1816" s="3" t="str">
        <f>VLOOKUP(B1816, '[1]DAR area codes'!A:B,2,FALSE)</f>
        <v>kauai</v>
      </c>
      <c r="D1816" s="4">
        <v>2315</v>
      </c>
      <c r="E1816" s="6">
        <v>1278</v>
      </c>
      <c r="F1816" s="3">
        <v>516</v>
      </c>
      <c r="G1816" s="3">
        <v>7201</v>
      </c>
    </row>
    <row r="1817" spans="1:7" x14ac:dyDescent="0.2">
      <c r="A1817" s="3">
        <v>2000</v>
      </c>
      <c r="B1817" s="3">
        <v>507</v>
      </c>
      <c r="C1817" s="3" t="str">
        <f>VLOOKUP(B1817, '[1]DAR area codes'!A:B,2,FALSE)</f>
        <v>kauai</v>
      </c>
      <c r="E1817" s="6"/>
      <c r="F1817" s="3">
        <v>0</v>
      </c>
      <c r="G1817" s="3">
        <v>0</v>
      </c>
    </row>
    <row r="1818" spans="1:7" x14ac:dyDescent="0.2">
      <c r="A1818" s="3">
        <v>2000</v>
      </c>
      <c r="B1818" s="3">
        <v>508</v>
      </c>
      <c r="C1818" s="3" t="str">
        <f>VLOOKUP(B1818, '[1]DAR area codes'!A:B,2,FALSE)</f>
        <v>kauai</v>
      </c>
      <c r="D1818" s="4">
        <v>1696.5</v>
      </c>
      <c r="E1818" s="6">
        <v>887.5</v>
      </c>
      <c r="F1818" s="3">
        <v>0</v>
      </c>
      <c r="G1818" s="3">
        <v>44900.71</v>
      </c>
    </row>
    <row r="1819" spans="1:7" x14ac:dyDescent="0.2">
      <c r="A1819" s="3">
        <v>2000</v>
      </c>
      <c r="B1819" s="3">
        <v>520</v>
      </c>
      <c r="C1819" s="3" t="str">
        <f>VLOOKUP(B1819, '[1]DAR area codes'!A:B,2,FALSE)</f>
        <v>kauai</v>
      </c>
      <c r="D1819" s="4">
        <v>1627</v>
      </c>
      <c r="E1819" s="6">
        <v>3066</v>
      </c>
      <c r="F1819" s="3">
        <v>2129</v>
      </c>
      <c r="G1819" s="3">
        <v>195772</v>
      </c>
    </row>
    <row r="1820" spans="1:7" x14ac:dyDescent="0.2">
      <c r="A1820" s="3">
        <v>2000</v>
      </c>
      <c r="B1820" s="3">
        <v>521</v>
      </c>
      <c r="C1820" s="3" t="str">
        <f>VLOOKUP(B1820, '[1]DAR area codes'!A:B,2,FALSE)</f>
        <v>kauai</v>
      </c>
      <c r="D1820" s="4">
        <v>1511</v>
      </c>
      <c r="E1820" s="6">
        <v>542</v>
      </c>
      <c r="F1820" s="3">
        <v>75</v>
      </c>
      <c r="G1820" s="3">
        <v>22426</v>
      </c>
    </row>
    <row r="1821" spans="1:7" x14ac:dyDescent="0.2">
      <c r="A1821" s="3">
        <v>2000</v>
      </c>
      <c r="B1821" s="3">
        <v>522</v>
      </c>
      <c r="C1821" s="3" t="str">
        <f>VLOOKUP(B1821, '[1]DAR area codes'!A:B,2,FALSE)</f>
        <v>kauai</v>
      </c>
      <c r="E1821" s="6"/>
      <c r="F1821" s="3">
        <v>0</v>
      </c>
      <c r="G1821" s="3">
        <v>2006</v>
      </c>
    </row>
    <row r="1822" spans="1:7" x14ac:dyDescent="0.2">
      <c r="A1822" s="3">
        <v>2000</v>
      </c>
      <c r="B1822" s="3">
        <v>523</v>
      </c>
      <c r="C1822" s="3" t="str">
        <f>VLOOKUP(B1822, '[1]DAR area codes'!A:B,2,FALSE)</f>
        <v>kauai</v>
      </c>
      <c r="E1822" s="6">
        <v>4920</v>
      </c>
      <c r="F1822" s="3">
        <v>169</v>
      </c>
      <c r="G1822" s="3">
        <v>57435</v>
      </c>
    </row>
    <row r="1823" spans="1:7" x14ac:dyDescent="0.2">
      <c r="A1823" s="3">
        <v>2000</v>
      </c>
      <c r="B1823" s="3">
        <v>524</v>
      </c>
      <c r="C1823" s="3" t="str">
        <f>VLOOKUP(B1823, '[1]DAR area codes'!A:B,2,FALSE)</f>
        <v>kauai</v>
      </c>
      <c r="D1823" s="4">
        <v>2181</v>
      </c>
      <c r="E1823" s="6">
        <v>2974</v>
      </c>
      <c r="F1823" s="3">
        <v>7375</v>
      </c>
      <c r="G1823" s="3">
        <v>71001</v>
      </c>
    </row>
    <row r="1824" spans="1:7" x14ac:dyDescent="0.2">
      <c r="A1824" s="3">
        <v>2000</v>
      </c>
      <c r="B1824" s="3">
        <v>525</v>
      </c>
      <c r="C1824" s="3" t="str">
        <f>VLOOKUP(B1824, '[1]DAR area codes'!A:B,2,FALSE)</f>
        <v>kauai</v>
      </c>
      <c r="E1824" s="6">
        <v>846.5</v>
      </c>
      <c r="F1824" s="3">
        <v>0</v>
      </c>
      <c r="G1824" s="3">
        <v>58554</v>
      </c>
    </row>
    <row r="1825" spans="1:7" x14ac:dyDescent="0.2">
      <c r="A1825" s="3">
        <v>2000</v>
      </c>
      <c r="B1825" s="3">
        <v>526</v>
      </c>
      <c r="C1825" s="3" t="str">
        <f>VLOOKUP(B1825, '[1]DAR area codes'!A:B,2,FALSE)</f>
        <v>kauai</v>
      </c>
      <c r="D1825" s="4">
        <v>2480.23</v>
      </c>
      <c r="E1825" s="6"/>
      <c r="F1825" s="3">
        <v>0</v>
      </c>
      <c r="G1825" s="3">
        <v>5419</v>
      </c>
    </row>
    <row r="1826" spans="1:7" x14ac:dyDescent="0.2">
      <c r="A1826" s="3">
        <v>2000</v>
      </c>
      <c r="B1826" s="3">
        <v>527</v>
      </c>
      <c r="C1826" s="3" t="str">
        <f>VLOOKUP(B1826, '[1]DAR area codes'!A:B,2,FALSE)</f>
        <v>kauai</v>
      </c>
      <c r="E1826" s="6"/>
      <c r="F1826" s="3">
        <v>0</v>
      </c>
      <c r="G1826" s="3">
        <v>14328</v>
      </c>
    </row>
    <row r="1827" spans="1:7" x14ac:dyDescent="0.2">
      <c r="A1827" s="3">
        <v>2000</v>
      </c>
      <c r="B1827" s="3">
        <v>528</v>
      </c>
      <c r="C1827" s="3" t="str">
        <f>VLOOKUP(B1827, '[1]DAR area codes'!A:B,2,FALSE)</f>
        <v>kauai</v>
      </c>
      <c r="D1827" s="4">
        <v>699</v>
      </c>
      <c r="E1827" s="6"/>
      <c r="F1827" s="3">
        <v>0</v>
      </c>
      <c r="G1827" s="3">
        <v>16085.62</v>
      </c>
    </row>
    <row r="1828" spans="1:7" x14ac:dyDescent="0.2">
      <c r="A1828" s="3">
        <v>1999</v>
      </c>
      <c r="B1828" s="3">
        <v>100</v>
      </c>
      <c r="C1828" s="3" t="str">
        <f>VLOOKUP(B1828, '[1]DAR area codes'!A:B,2,FALSE)</f>
        <v>hawaii</v>
      </c>
      <c r="D1828" s="4">
        <v>483</v>
      </c>
      <c r="E1828" s="6"/>
      <c r="F1828" s="3">
        <v>7562</v>
      </c>
      <c r="G1828" s="3">
        <v>59653</v>
      </c>
    </row>
    <row r="1829" spans="1:7" x14ac:dyDescent="0.2">
      <c r="A1829" s="3">
        <v>1999</v>
      </c>
      <c r="B1829" s="3">
        <v>101</v>
      </c>
      <c r="C1829" s="3" t="str">
        <f>VLOOKUP(B1829, '[1]DAR area codes'!A:B,2,FALSE)</f>
        <v>hawaii</v>
      </c>
      <c r="D1829" s="4">
        <v>1155</v>
      </c>
      <c r="E1829" s="6">
        <v>936</v>
      </c>
      <c r="F1829" s="3">
        <v>184599</v>
      </c>
      <c r="G1829" s="3">
        <v>118892</v>
      </c>
    </row>
    <row r="1830" spans="1:7" x14ac:dyDescent="0.2">
      <c r="A1830" s="3">
        <v>1999</v>
      </c>
      <c r="B1830" s="3">
        <v>102</v>
      </c>
      <c r="C1830" s="3" t="str">
        <f>VLOOKUP(B1830, '[1]DAR area codes'!A:B,2,FALSE)</f>
        <v>hawaii</v>
      </c>
      <c r="D1830" s="4">
        <v>4259</v>
      </c>
      <c r="E1830" s="6">
        <v>5270</v>
      </c>
      <c r="F1830" s="3">
        <v>8881</v>
      </c>
      <c r="G1830" s="3">
        <v>90529</v>
      </c>
    </row>
    <row r="1831" spans="1:7" x14ac:dyDescent="0.2">
      <c r="A1831" s="3">
        <v>1999</v>
      </c>
      <c r="B1831" s="3">
        <v>103</v>
      </c>
      <c r="C1831" s="3" t="str">
        <f>VLOOKUP(B1831, '[1]DAR area codes'!A:B,2,FALSE)</f>
        <v>hawaii</v>
      </c>
      <c r="D1831" s="4">
        <v>1897</v>
      </c>
      <c r="E1831" s="6"/>
      <c r="F1831" s="3">
        <v>504</v>
      </c>
      <c r="G1831" s="3">
        <v>1737</v>
      </c>
    </row>
    <row r="1832" spans="1:7" x14ac:dyDescent="0.2">
      <c r="A1832" s="3">
        <v>1999</v>
      </c>
      <c r="B1832" s="3">
        <v>104</v>
      </c>
      <c r="C1832" s="3" t="str">
        <f>VLOOKUP(B1832, '[1]DAR area codes'!A:B,2,FALSE)</f>
        <v>hawaii</v>
      </c>
      <c r="D1832" s="4">
        <v>1116</v>
      </c>
      <c r="E1832" s="6"/>
      <c r="F1832" s="3">
        <v>2296</v>
      </c>
      <c r="G1832" s="3">
        <v>3124</v>
      </c>
    </row>
    <row r="1833" spans="1:7" x14ac:dyDescent="0.2">
      <c r="A1833" s="3">
        <v>1999</v>
      </c>
      <c r="B1833" s="3">
        <v>105</v>
      </c>
      <c r="C1833" s="3" t="str">
        <f>VLOOKUP(B1833, '[1]DAR area codes'!A:B,2,FALSE)</f>
        <v>hawaii</v>
      </c>
      <c r="D1833" s="4">
        <v>2502</v>
      </c>
      <c r="E1833" s="6">
        <v>205</v>
      </c>
      <c r="F1833" s="3">
        <v>40671</v>
      </c>
      <c r="G1833" s="3">
        <v>9805</v>
      </c>
    </row>
    <row r="1834" spans="1:7" x14ac:dyDescent="0.2">
      <c r="A1834" s="3">
        <v>1999</v>
      </c>
      <c r="B1834" s="3">
        <v>106</v>
      </c>
      <c r="C1834" s="3" t="str">
        <f>VLOOKUP(B1834, '[1]DAR area codes'!A:B,2,FALSE)</f>
        <v>hawaii</v>
      </c>
      <c r="D1834" s="4">
        <v>1179</v>
      </c>
      <c r="E1834" s="6">
        <v>637</v>
      </c>
      <c r="F1834" s="3">
        <v>20246</v>
      </c>
      <c r="G1834" s="3">
        <v>80558</v>
      </c>
    </row>
    <row r="1835" spans="1:7" x14ac:dyDescent="0.2">
      <c r="A1835" s="3">
        <v>1999</v>
      </c>
      <c r="B1835" s="3">
        <v>107</v>
      </c>
      <c r="C1835" s="3" t="str">
        <f>VLOOKUP(B1835, '[1]DAR area codes'!A:B,2,FALSE)</f>
        <v>hawaii</v>
      </c>
      <c r="D1835" s="4">
        <v>1113</v>
      </c>
      <c r="E1835" s="6"/>
      <c r="F1835" s="3">
        <v>819</v>
      </c>
      <c r="G1835" s="3">
        <v>42680</v>
      </c>
    </row>
    <row r="1836" spans="1:7" x14ac:dyDescent="0.2">
      <c r="A1836" s="3">
        <v>1999</v>
      </c>
      <c r="B1836" s="3">
        <v>108</v>
      </c>
      <c r="C1836" s="3" t="str">
        <f>VLOOKUP(B1836, '[1]DAR area codes'!A:B,2,FALSE)</f>
        <v>hawaii</v>
      </c>
      <c r="D1836" s="4">
        <v>2687</v>
      </c>
      <c r="E1836" s="6">
        <v>883</v>
      </c>
      <c r="F1836" s="3">
        <v>3986</v>
      </c>
      <c r="G1836" s="3">
        <v>32142</v>
      </c>
    </row>
    <row r="1837" spans="1:7" x14ac:dyDescent="0.2">
      <c r="A1837" s="3">
        <v>1999</v>
      </c>
      <c r="B1837" s="3">
        <v>120</v>
      </c>
      <c r="C1837" s="3" t="str">
        <f>VLOOKUP(B1837, '[1]DAR area codes'!A:B,2,FALSE)</f>
        <v>hawaii</v>
      </c>
      <c r="D1837" s="4">
        <v>2845</v>
      </c>
      <c r="E1837" s="6">
        <v>387</v>
      </c>
      <c r="F1837" s="3">
        <v>0</v>
      </c>
      <c r="G1837" s="3">
        <v>180298.11</v>
      </c>
    </row>
    <row r="1838" spans="1:7" x14ac:dyDescent="0.2">
      <c r="A1838" s="3">
        <v>1999</v>
      </c>
      <c r="B1838" s="3">
        <v>121</v>
      </c>
      <c r="C1838" s="3" t="str">
        <f>VLOOKUP(B1838, '[1]DAR area codes'!A:B,2,FALSE)</f>
        <v>hawaii</v>
      </c>
      <c r="D1838" s="4">
        <v>8143</v>
      </c>
      <c r="E1838" s="6">
        <v>1512</v>
      </c>
      <c r="F1838" s="3">
        <v>12356</v>
      </c>
      <c r="G1838" s="3">
        <v>1386958.75</v>
      </c>
    </row>
    <row r="1839" spans="1:7" x14ac:dyDescent="0.2">
      <c r="A1839" s="3">
        <v>1999</v>
      </c>
      <c r="B1839" s="3">
        <v>122</v>
      </c>
      <c r="C1839" s="3" t="str">
        <f>VLOOKUP(B1839, '[1]DAR area codes'!A:B,2,FALSE)</f>
        <v>hawaii</v>
      </c>
      <c r="D1839" s="4">
        <v>5172.5</v>
      </c>
      <c r="E1839" s="6">
        <v>3828.29</v>
      </c>
      <c r="F1839" s="3">
        <v>5203</v>
      </c>
      <c r="G1839" s="3">
        <v>132252</v>
      </c>
    </row>
    <row r="1840" spans="1:7" x14ac:dyDescent="0.2">
      <c r="A1840" s="3">
        <v>1999</v>
      </c>
      <c r="B1840" s="3">
        <v>123</v>
      </c>
      <c r="C1840" s="3" t="str">
        <f>VLOOKUP(B1840, '[1]DAR area codes'!A:B,2,FALSE)</f>
        <v>hawaii</v>
      </c>
      <c r="D1840" s="4">
        <v>1019</v>
      </c>
      <c r="E1840" s="6"/>
      <c r="F1840" s="3">
        <v>0</v>
      </c>
      <c r="G1840" s="3">
        <v>3607</v>
      </c>
    </row>
    <row r="1841" spans="1:7" x14ac:dyDescent="0.2">
      <c r="A1841" s="3">
        <v>1999</v>
      </c>
      <c r="B1841" s="3">
        <v>124</v>
      </c>
      <c r="C1841" s="3" t="str">
        <f>VLOOKUP(B1841, '[1]DAR area codes'!A:B,2,FALSE)</f>
        <v>hawaii</v>
      </c>
      <c r="E1841" s="6"/>
      <c r="F1841" s="3">
        <v>0</v>
      </c>
      <c r="G1841" s="3">
        <v>49047</v>
      </c>
    </row>
    <row r="1842" spans="1:7" x14ac:dyDescent="0.2">
      <c r="A1842" s="3">
        <v>1999</v>
      </c>
      <c r="B1842" s="3">
        <v>125</v>
      </c>
      <c r="C1842" s="3" t="str">
        <f>VLOOKUP(B1842, '[1]DAR area codes'!A:B,2,FALSE)</f>
        <v>hawaii</v>
      </c>
      <c r="D1842" s="4">
        <v>1121</v>
      </c>
      <c r="E1842" s="6">
        <v>93</v>
      </c>
      <c r="F1842" s="3">
        <v>331</v>
      </c>
      <c r="G1842" s="3">
        <v>192279.89</v>
      </c>
    </row>
    <row r="1843" spans="1:7" x14ac:dyDescent="0.2">
      <c r="A1843" s="3">
        <v>1999</v>
      </c>
      <c r="B1843" s="3">
        <v>126</v>
      </c>
      <c r="C1843" s="3" t="str">
        <f>VLOOKUP(B1843, '[1]DAR area codes'!A:B,2,FALSE)</f>
        <v>hawaii</v>
      </c>
      <c r="D1843" s="4">
        <v>3079</v>
      </c>
      <c r="E1843" s="6">
        <v>255</v>
      </c>
      <c r="F1843" s="3">
        <v>1120</v>
      </c>
      <c r="G1843" s="3">
        <v>792850.35</v>
      </c>
    </row>
    <row r="1844" spans="1:7" x14ac:dyDescent="0.2">
      <c r="A1844" s="3">
        <v>1999</v>
      </c>
      <c r="B1844" s="3">
        <v>127</v>
      </c>
      <c r="C1844" s="3" t="str">
        <f>VLOOKUP(B1844, '[1]DAR area codes'!A:B,2,FALSE)</f>
        <v>hawaii</v>
      </c>
      <c r="D1844" s="4">
        <v>2226</v>
      </c>
      <c r="E1844" s="6"/>
      <c r="F1844" s="3">
        <v>0</v>
      </c>
      <c r="G1844" s="3">
        <v>209378.40999999997</v>
      </c>
    </row>
    <row r="1845" spans="1:7" x14ac:dyDescent="0.2">
      <c r="A1845" s="3">
        <v>1999</v>
      </c>
      <c r="B1845" s="3">
        <v>128</v>
      </c>
      <c r="C1845" s="3" t="str">
        <f>VLOOKUP(B1845, '[1]DAR area codes'!A:B,2,FALSE)</f>
        <v>hawaii</v>
      </c>
      <c r="D1845" s="4">
        <v>3855.08</v>
      </c>
      <c r="E1845" s="6"/>
      <c r="F1845" s="3">
        <v>0</v>
      </c>
      <c r="G1845" s="3">
        <v>22581.56</v>
      </c>
    </row>
    <row r="1846" spans="1:7" x14ac:dyDescent="0.2">
      <c r="A1846" s="3">
        <v>1999</v>
      </c>
      <c r="B1846" s="3">
        <v>300</v>
      </c>
      <c r="C1846" s="3" t="str">
        <f>VLOOKUP(B1846, '[1]DAR area codes'!A:B,2,FALSE)</f>
        <v>maui</v>
      </c>
      <c r="D1846" s="4">
        <v>1295</v>
      </c>
      <c r="E1846" s="6">
        <v>3442</v>
      </c>
      <c r="F1846" s="3">
        <v>62734</v>
      </c>
      <c r="G1846" s="3">
        <v>964</v>
      </c>
    </row>
    <row r="1847" spans="1:7" x14ac:dyDescent="0.2">
      <c r="A1847" s="3">
        <v>1999</v>
      </c>
      <c r="B1847" s="3">
        <v>301</v>
      </c>
      <c r="C1847" s="3" t="str">
        <f>VLOOKUP(B1847, '[1]DAR area codes'!A:B,2,FALSE)</f>
        <v>maui</v>
      </c>
      <c r="D1847" s="4">
        <v>572</v>
      </c>
      <c r="E1847" s="6">
        <v>421</v>
      </c>
      <c r="F1847" s="3">
        <v>12012</v>
      </c>
      <c r="G1847" s="3">
        <v>124</v>
      </c>
    </row>
    <row r="1848" spans="1:7" x14ac:dyDescent="0.2">
      <c r="A1848" s="3">
        <v>1999</v>
      </c>
      <c r="B1848" s="3">
        <v>302</v>
      </c>
      <c r="C1848" s="3" t="str">
        <f>VLOOKUP(B1848, '[1]DAR area codes'!A:B,2,FALSE)</f>
        <v>maui</v>
      </c>
      <c r="D1848" s="4">
        <v>2275</v>
      </c>
      <c r="E1848" s="6">
        <v>975</v>
      </c>
      <c r="F1848" s="3">
        <v>18569</v>
      </c>
      <c r="G1848" s="3">
        <v>5025</v>
      </c>
    </row>
    <row r="1849" spans="1:7" x14ac:dyDescent="0.2">
      <c r="A1849" s="3">
        <v>1999</v>
      </c>
      <c r="B1849" s="3">
        <v>303</v>
      </c>
      <c r="C1849" s="3" t="str">
        <f>VLOOKUP(B1849, '[1]DAR area codes'!A:B,2,FALSE)</f>
        <v>maui</v>
      </c>
      <c r="D1849" s="4">
        <v>4758</v>
      </c>
      <c r="E1849" s="6">
        <v>972</v>
      </c>
      <c r="F1849" s="3">
        <v>2488</v>
      </c>
      <c r="G1849" s="3">
        <v>6280</v>
      </c>
    </row>
    <row r="1850" spans="1:7" x14ac:dyDescent="0.2">
      <c r="A1850" s="3">
        <v>1999</v>
      </c>
      <c r="B1850" s="3">
        <v>304</v>
      </c>
      <c r="C1850" s="3" t="str">
        <f>VLOOKUP(B1850, '[1]DAR area codes'!A:B,2,FALSE)</f>
        <v>maui</v>
      </c>
      <c r="D1850" s="4">
        <v>4599.6099999999997</v>
      </c>
      <c r="E1850" s="6">
        <v>1620</v>
      </c>
      <c r="F1850" s="3">
        <v>16313</v>
      </c>
      <c r="G1850" s="3">
        <v>10280</v>
      </c>
    </row>
    <row r="1851" spans="1:7" x14ac:dyDescent="0.2">
      <c r="A1851" s="3">
        <v>1999</v>
      </c>
      <c r="B1851" s="3">
        <v>305</v>
      </c>
      <c r="C1851" s="3" t="str">
        <f>VLOOKUP(B1851, '[1]DAR area codes'!A:B,2,FALSE)</f>
        <v>maui</v>
      </c>
      <c r="D1851" s="4">
        <v>5502</v>
      </c>
      <c r="E1851" s="6">
        <v>936</v>
      </c>
      <c r="F1851" s="3">
        <v>2590</v>
      </c>
      <c r="G1851" s="3">
        <v>2269</v>
      </c>
    </row>
    <row r="1852" spans="1:7" x14ac:dyDescent="0.2">
      <c r="A1852" s="3">
        <v>1999</v>
      </c>
      <c r="B1852" s="3">
        <v>306</v>
      </c>
      <c r="C1852" s="3" t="str">
        <f>VLOOKUP(B1852, '[1]DAR area codes'!A:B,2,FALSE)</f>
        <v>maui</v>
      </c>
      <c r="E1852" s="6"/>
      <c r="F1852" s="3">
        <v>0</v>
      </c>
      <c r="G1852" s="3">
        <v>5855</v>
      </c>
    </row>
    <row r="1853" spans="1:7" x14ac:dyDescent="0.2">
      <c r="A1853" s="3">
        <v>1999</v>
      </c>
      <c r="B1853" s="3">
        <v>307</v>
      </c>
      <c r="C1853" s="3" t="str">
        <f>VLOOKUP(B1853, '[1]DAR area codes'!A:B,2,FALSE)</f>
        <v>maui</v>
      </c>
      <c r="E1853" s="6"/>
      <c r="F1853" s="3">
        <v>0</v>
      </c>
      <c r="G1853" s="3">
        <v>509</v>
      </c>
    </row>
    <row r="1854" spans="1:7" x14ac:dyDescent="0.2">
      <c r="A1854" s="3">
        <v>1999</v>
      </c>
      <c r="B1854" s="3">
        <v>308</v>
      </c>
      <c r="C1854" s="3" t="str">
        <f>VLOOKUP(B1854, '[1]DAR area codes'!A:B,2,FALSE)</f>
        <v>maui</v>
      </c>
      <c r="D1854" s="4">
        <v>4021</v>
      </c>
      <c r="E1854" s="6">
        <v>3528</v>
      </c>
      <c r="F1854" s="3">
        <v>5796</v>
      </c>
      <c r="G1854" s="3">
        <v>11686</v>
      </c>
    </row>
    <row r="1855" spans="1:7" x14ac:dyDescent="0.2">
      <c r="A1855" s="3">
        <v>1999</v>
      </c>
      <c r="B1855" s="3">
        <v>309</v>
      </c>
      <c r="C1855" s="3" t="str">
        <f>VLOOKUP(B1855, '[1]DAR area codes'!A:B,2,FALSE)</f>
        <v>maui</v>
      </c>
      <c r="E1855" s="6">
        <v>1243</v>
      </c>
      <c r="F1855" s="3">
        <v>1299</v>
      </c>
      <c r="G1855" s="3">
        <v>537</v>
      </c>
    </row>
    <row r="1856" spans="1:7" x14ac:dyDescent="0.2">
      <c r="A1856" s="3">
        <v>1999</v>
      </c>
      <c r="B1856" s="3">
        <v>310</v>
      </c>
      <c r="C1856" s="3" t="str">
        <f>VLOOKUP(B1856, '[1]DAR area codes'!A:B,2,FALSE)</f>
        <v>maui</v>
      </c>
      <c r="E1856" s="6"/>
      <c r="F1856" s="3">
        <v>5059</v>
      </c>
      <c r="G1856" s="3">
        <v>570</v>
      </c>
    </row>
    <row r="1857" spans="1:7" x14ac:dyDescent="0.2">
      <c r="A1857" s="3">
        <v>1999</v>
      </c>
      <c r="B1857" s="3">
        <v>311</v>
      </c>
      <c r="C1857" s="3" t="str">
        <f>VLOOKUP(B1857, '[1]DAR area codes'!A:B,2,FALSE)</f>
        <v>maui</v>
      </c>
      <c r="E1857" s="6">
        <v>517</v>
      </c>
      <c r="F1857" s="3">
        <v>2988</v>
      </c>
      <c r="G1857" s="3">
        <v>824</v>
      </c>
    </row>
    <row r="1858" spans="1:7" x14ac:dyDescent="0.2">
      <c r="A1858" s="3">
        <v>1999</v>
      </c>
      <c r="B1858" s="3">
        <v>312</v>
      </c>
      <c r="C1858" s="3" t="str">
        <f>VLOOKUP(B1858, '[1]DAR area codes'!A:B,2,FALSE)</f>
        <v>maui</v>
      </c>
      <c r="E1858" s="6"/>
      <c r="F1858" s="3">
        <v>1669</v>
      </c>
      <c r="G1858" s="3">
        <v>871</v>
      </c>
    </row>
    <row r="1859" spans="1:7" x14ac:dyDescent="0.2">
      <c r="A1859" s="3">
        <v>1999</v>
      </c>
      <c r="B1859" s="3">
        <v>313</v>
      </c>
      <c r="C1859" s="3" t="str">
        <f>VLOOKUP(B1859, '[1]DAR area codes'!A:B,2,FALSE)</f>
        <v>maui</v>
      </c>
      <c r="D1859" s="4">
        <v>4770.78</v>
      </c>
      <c r="E1859" s="6">
        <v>712</v>
      </c>
      <c r="F1859" s="3">
        <v>244</v>
      </c>
      <c r="G1859" s="3">
        <v>1462</v>
      </c>
    </row>
    <row r="1860" spans="1:7" x14ac:dyDescent="0.2">
      <c r="A1860" s="3">
        <v>1999</v>
      </c>
      <c r="B1860" s="3">
        <v>314</v>
      </c>
      <c r="C1860" s="3" t="str">
        <f>VLOOKUP(B1860, '[1]DAR area codes'!A:B,2,FALSE)</f>
        <v>maui</v>
      </c>
      <c r="D1860" s="4">
        <v>1087</v>
      </c>
      <c r="E1860" s="6">
        <v>531</v>
      </c>
      <c r="F1860" s="3">
        <v>1928</v>
      </c>
      <c r="G1860" s="3">
        <v>797</v>
      </c>
    </row>
    <row r="1861" spans="1:7" x14ac:dyDescent="0.2">
      <c r="A1861" s="3">
        <v>1999</v>
      </c>
      <c r="B1861" s="3">
        <v>320</v>
      </c>
      <c r="C1861" s="3" t="str">
        <f>VLOOKUP(B1861, '[1]DAR area codes'!A:B,2,FALSE)</f>
        <v>maui</v>
      </c>
      <c r="D1861" s="4">
        <v>23411</v>
      </c>
      <c r="E1861" s="6">
        <v>6318</v>
      </c>
      <c r="F1861" s="3">
        <v>8689</v>
      </c>
      <c r="G1861" s="3">
        <v>51234</v>
      </c>
    </row>
    <row r="1862" spans="1:7" x14ac:dyDescent="0.2">
      <c r="A1862" s="3">
        <v>1999</v>
      </c>
      <c r="B1862" s="3">
        <v>321</v>
      </c>
      <c r="C1862" s="3" t="str">
        <f>VLOOKUP(B1862, '[1]DAR area codes'!A:B,2,FALSE)</f>
        <v>maui</v>
      </c>
      <c r="D1862" s="4">
        <v>21991.43</v>
      </c>
      <c r="E1862" s="6">
        <v>3509.76</v>
      </c>
      <c r="F1862" s="3">
        <v>2654</v>
      </c>
      <c r="G1862" s="3">
        <v>10542</v>
      </c>
    </row>
    <row r="1863" spans="1:7" x14ac:dyDescent="0.2">
      <c r="A1863" s="3">
        <v>1999</v>
      </c>
      <c r="B1863" s="3">
        <v>322</v>
      </c>
      <c r="C1863" s="3" t="str">
        <f>VLOOKUP(B1863, '[1]DAR area codes'!A:B,2,FALSE)</f>
        <v>maui</v>
      </c>
      <c r="D1863" s="4">
        <v>3336</v>
      </c>
      <c r="E1863" s="6"/>
      <c r="F1863" s="3">
        <v>0</v>
      </c>
      <c r="G1863" s="3">
        <v>9614</v>
      </c>
    </row>
    <row r="1864" spans="1:7" x14ac:dyDescent="0.2">
      <c r="A1864" s="3">
        <v>1999</v>
      </c>
      <c r="B1864" s="3">
        <v>323</v>
      </c>
      <c r="C1864" s="3" t="str">
        <f>VLOOKUP(B1864, '[1]DAR area codes'!A:B,2,FALSE)</f>
        <v>maui</v>
      </c>
      <c r="D1864" s="4">
        <v>1661</v>
      </c>
      <c r="E1864" s="6">
        <v>208</v>
      </c>
      <c r="F1864" s="3">
        <v>0</v>
      </c>
      <c r="G1864" s="3">
        <v>110646</v>
      </c>
    </row>
    <row r="1865" spans="1:7" x14ac:dyDescent="0.2">
      <c r="A1865" s="3">
        <v>1999</v>
      </c>
      <c r="B1865" s="3">
        <v>324</v>
      </c>
      <c r="C1865" s="3" t="str">
        <f>VLOOKUP(B1865, '[1]DAR area codes'!A:B,2,FALSE)</f>
        <v>maui</v>
      </c>
      <c r="E1865" s="6"/>
      <c r="F1865" s="3">
        <v>0</v>
      </c>
      <c r="G1865" s="3">
        <v>22082</v>
      </c>
    </row>
    <row r="1866" spans="1:7" x14ac:dyDescent="0.2">
      <c r="A1866" s="3">
        <v>1999</v>
      </c>
      <c r="B1866" s="3">
        <v>325</v>
      </c>
      <c r="C1866" s="3" t="str">
        <f>VLOOKUP(B1866, '[1]DAR area codes'!A:B,2,FALSE)</f>
        <v>maui</v>
      </c>
      <c r="D1866" s="4">
        <v>662</v>
      </c>
      <c r="E1866" s="6"/>
      <c r="F1866" s="3">
        <v>0</v>
      </c>
      <c r="G1866" s="3">
        <v>3305</v>
      </c>
    </row>
    <row r="1867" spans="1:7" x14ac:dyDescent="0.2">
      <c r="A1867" s="3">
        <v>1999</v>
      </c>
      <c r="B1867" s="3">
        <v>326</v>
      </c>
      <c r="C1867" s="3" t="str">
        <f>VLOOKUP(B1867, '[1]DAR area codes'!A:B,2,FALSE)</f>
        <v>maui</v>
      </c>
      <c r="E1867" s="6"/>
      <c r="F1867" s="3">
        <v>0</v>
      </c>
      <c r="G1867" s="3">
        <v>5762</v>
      </c>
    </row>
    <row r="1868" spans="1:7" x14ac:dyDescent="0.2">
      <c r="A1868" s="3">
        <v>1999</v>
      </c>
      <c r="B1868" s="3">
        <v>327</v>
      </c>
      <c r="C1868" s="3" t="str">
        <f>VLOOKUP(B1868, '[1]DAR area codes'!A:B,2,FALSE)</f>
        <v>maui</v>
      </c>
      <c r="D1868" s="4">
        <v>17581.57</v>
      </c>
      <c r="E1868" s="6">
        <v>1596.7</v>
      </c>
      <c r="F1868" s="3">
        <v>80</v>
      </c>
      <c r="G1868" s="3">
        <v>39673.9</v>
      </c>
    </row>
    <row r="1869" spans="1:7" x14ac:dyDescent="0.2">
      <c r="A1869" s="3">
        <v>1999</v>
      </c>
      <c r="B1869" s="3">
        <v>328</v>
      </c>
      <c r="C1869" s="3" t="str">
        <f>VLOOKUP(B1869, '[1]DAR area codes'!A:B,2,FALSE)</f>
        <v>maui</v>
      </c>
      <c r="D1869" s="4">
        <v>3276</v>
      </c>
      <c r="E1869" s="6"/>
      <c r="F1869" s="3">
        <v>0</v>
      </c>
      <c r="G1869" s="3">
        <v>139239</v>
      </c>
    </row>
    <row r="1870" spans="1:7" x14ac:dyDescent="0.2">
      <c r="A1870" s="3">
        <v>1999</v>
      </c>
      <c r="B1870" s="3">
        <v>331</v>
      </c>
      <c r="C1870" s="3" t="str">
        <f>VLOOKUP(B1870, '[1]DAR area codes'!A:B,2,FALSE)</f>
        <v>maui</v>
      </c>
      <c r="D1870" s="4">
        <v>29875.97</v>
      </c>
      <c r="E1870" s="6">
        <v>47604.73</v>
      </c>
      <c r="F1870" s="3">
        <v>1353</v>
      </c>
      <c r="G1870" s="3">
        <v>33804</v>
      </c>
    </row>
    <row r="1871" spans="1:7" x14ac:dyDescent="0.2">
      <c r="A1871" s="3">
        <v>1999</v>
      </c>
      <c r="B1871" s="3">
        <v>332</v>
      </c>
      <c r="C1871" s="3" t="str">
        <f>VLOOKUP(B1871, '[1]DAR area codes'!A:B,2,FALSE)</f>
        <v>maui</v>
      </c>
      <c r="E1871" s="6"/>
      <c r="F1871" s="3">
        <v>0</v>
      </c>
      <c r="G1871" s="3">
        <v>77673</v>
      </c>
    </row>
    <row r="1872" spans="1:7" x14ac:dyDescent="0.2">
      <c r="A1872" s="3">
        <v>1999</v>
      </c>
      <c r="B1872" s="3">
        <v>333</v>
      </c>
      <c r="C1872" s="3" t="str">
        <f>VLOOKUP(B1872, '[1]DAR area codes'!A:B,2,FALSE)</f>
        <v>maui</v>
      </c>
      <c r="E1872" s="6"/>
      <c r="F1872" s="3">
        <v>0</v>
      </c>
      <c r="G1872" s="3">
        <v>6135</v>
      </c>
    </row>
    <row r="1873" spans="1:7" x14ac:dyDescent="0.2">
      <c r="A1873" s="3">
        <v>1999</v>
      </c>
      <c r="B1873" s="3">
        <v>400</v>
      </c>
      <c r="C1873" s="3" t="str">
        <f>VLOOKUP(B1873, '[1]DAR area codes'!A:B,2,FALSE)</f>
        <v>oahu</v>
      </c>
      <c r="D1873" s="4">
        <v>36</v>
      </c>
      <c r="E1873" s="6"/>
      <c r="F1873" s="3">
        <v>46359</v>
      </c>
      <c r="G1873" s="3">
        <v>1781</v>
      </c>
    </row>
    <row r="1874" spans="1:7" x14ac:dyDescent="0.2">
      <c r="A1874" s="3">
        <v>1999</v>
      </c>
      <c r="B1874" s="3">
        <v>401</v>
      </c>
      <c r="C1874" s="3" t="str">
        <f>VLOOKUP(B1874, '[1]DAR area codes'!A:B,2,FALSE)</f>
        <v>oahu</v>
      </c>
      <c r="D1874" s="4">
        <v>151</v>
      </c>
      <c r="E1874" s="6">
        <v>1716</v>
      </c>
      <c r="F1874" s="3">
        <v>78684</v>
      </c>
      <c r="G1874" s="3">
        <v>957</v>
      </c>
    </row>
    <row r="1875" spans="1:7" x14ac:dyDescent="0.2">
      <c r="A1875" s="3">
        <v>1999</v>
      </c>
      <c r="B1875" s="3">
        <v>402</v>
      </c>
      <c r="C1875" s="3" t="str">
        <f>VLOOKUP(B1875, '[1]DAR area codes'!A:B,2,FALSE)</f>
        <v>oahu</v>
      </c>
      <c r="D1875" s="4">
        <v>149</v>
      </c>
      <c r="E1875" s="6">
        <v>389</v>
      </c>
      <c r="F1875" s="3">
        <v>49371</v>
      </c>
      <c r="G1875" s="3">
        <v>6408</v>
      </c>
    </row>
    <row r="1876" spans="1:7" x14ac:dyDescent="0.2">
      <c r="A1876" s="3">
        <v>1999</v>
      </c>
      <c r="B1876" s="3">
        <v>403</v>
      </c>
      <c r="C1876" s="3" t="str">
        <f>VLOOKUP(B1876, '[1]DAR area codes'!A:B,2,FALSE)</f>
        <v>oahu</v>
      </c>
      <c r="D1876" s="4">
        <v>1359</v>
      </c>
      <c r="E1876" s="6">
        <v>4223</v>
      </c>
      <c r="F1876" s="3">
        <v>226070</v>
      </c>
      <c r="G1876" s="3">
        <v>27228</v>
      </c>
    </row>
    <row r="1877" spans="1:7" x14ac:dyDescent="0.2">
      <c r="A1877" s="3">
        <v>1999</v>
      </c>
      <c r="B1877" s="3">
        <v>404</v>
      </c>
      <c r="C1877" s="3" t="str">
        <f>VLOOKUP(B1877, '[1]DAR area codes'!A:B,2,FALSE)</f>
        <v>oahu</v>
      </c>
      <c r="D1877" s="4">
        <v>5669</v>
      </c>
      <c r="E1877" s="6">
        <v>4348</v>
      </c>
      <c r="F1877" s="3">
        <v>135899</v>
      </c>
      <c r="G1877" s="3">
        <v>6040</v>
      </c>
    </row>
    <row r="1878" spans="1:7" x14ac:dyDescent="0.2">
      <c r="A1878" s="3">
        <v>1999</v>
      </c>
      <c r="B1878" s="3">
        <v>405</v>
      </c>
      <c r="C1878" s="3" t="str">
        <f>VLOOKUP(B1878, '[1]DAR area codes'!A:B,2,FALSE)</f>
        <v>oahu</v>
      </c>
      <c r="D1878" s="4">
        <v>2032</v>
      </c>
      <c r="E1878" s="6">
        <v>1288</v>
      </c>
      <c r="F1878" s="3">
        <v>33658</v>
      </c>
      <c r="G1878" s="3">
        <v>1217</v>
      </c>
    </row>
    <row r="1879" spans="1:7" x14ac:dyDescent="0.2">
      <c r="A1879" s="3">
        <v>1999</v>
      </c>
      <c r="B1879" s="3">
        <v>406</v>
      </c>
      <c r="C1879" s="3" t="str">
        <f>VLOOKUP(B1879, '[1]DAR area codes'!A:B,2,FALSE)</f>
        <v>oahu</v>
      </c>
      <c r="D1879" s="4">
        <v>190</v>
      </c>
      <c r="E1879" s="6"/>
      <c r="F1879" s="3">
        <v>18642</v>
      </c>
      <c r="G1879" s="3">
        <v>2678</v>
      </c>
    </row>
    <row r="1880" spans="1:7" x14ac:dyDescent="0.2">
      <c r="A1880" s="3">
        <v>1999</v>
      </c>
      <c r="B1880" s="3">
        <v>407</v>
      </c>
      <c r="C1880" s="3" t="str">
        <f>VLOOKUP(B1880, '[1]DAR area codes'!A:B,2,FALSE)</f>
        <v>oahu</v>
      </c>
      <c r="E1880" s="6"/>
      <c r="F1880" s="3">
        <v>65237</v>
      </c>
      <c r="G1880" s="3">
        <v>409</v>
      </c>
    </row>
    <row r="1881" spans="1:7" x14ac:dyDescent="0.2">
      <c r="A1881" s="3">
        <v>1999</v>
      </c>
      <c r="B1881" s="3">
        <v>408</v>
      </c>
      <c r="C1881" s="3" t="str">
        <f>VLOOKUP(B1881, '[1]DAR area codes'!A:B,2,FALSE)</f>
        <v>oahu</v>
      </c>
      <c r="E1881" s="6">
        <v>223</v>
      </c>
      <c r="F1881" s="3">
        <v>17384</v>
      </c>
      <c r="G1881" s="3">
        <v>384</v>
      </c>
    </row>
    <row r="1882" spans="1:7" x14ac:dyDescent="0.2">
      <c r="A1882" s="3">
        <v>1999</v>
      </c>
      <c r="B1882" s="3">
        <v>409</v>
      </c>
      <c r="C1882" s="3" t="str">
        <f>VLOOKUP(B1882, '[1]DAR area codes'!A:B,2,FALSE)</f>
        <v>oahu</v>
      </c>
      <c r="D1882" s="4">
        <v>266</v>
      </c>
      <c r="E1882" s="6">
        <v>724</v>
      </c>
      <c r="F1882" s="3">
        <v>20169</v>
      </c>
      <c r="G1882" s="3">
        <v>888</v>
      </c>
    </row>
    <row r="1883" spans="1:7" x14ac:dyDescent="0.2">
      <c r="A1883" s="3">
        <v>1999</v>
      </c>
      <c r="B1883" s="3">
        <v>420</v>
      </c>
      <c r="C1883" s="3" t="str">
        <f>VLOOKUP(B1883, '[1]DAR area codes'!A:B,2,FALSE)</f>
        <v>oahu</v>
      </c>
      <c r="D1883" s="4">
        <v>522.05999999999995</v>
      </c>
      <c r="E1883" s="6">
        <v>1469</v>
      </c>
      <c r="F1883" s="3">
        <v>112</v>
      </c>
      <c r="G1883" s="3">
        <v>47214</v>
      </c>
    </row>
    <row r="1884" spans="1:7" x14ac:dyDescent="0.2">
      <c r="A1884" s="3">
        <v>1999</v>
      </c>
      <c r="B1884" s="3">
        <v>421</v>
      </c>
      <c r="C1884" s="3" t="str">
        <f>VLOOKUP(B1884, '[1]DAR area codes'!A:B,2,FALSE)</f>
        <v>oahu</v>
      </c>
      <c r="D1884" s="4">
        <v>2147</v>
      </c>
      <c r="E1884" s="6"/>
      <c r="F1884" s="3">
        <v>460</v>
      </c>
      <c r="G1884" s="3">
        <v>238677</v>
      </c>
    </row>
    <row r="1885" spans="1:7" x14ac:dyDescent="0.2">
      <c r="A1885" s="3">
        <v>1999</v>
      </c>
      <c r="B1885" s="3">
        <v>422</v>
      </c>
      <c r="C1885" s="3" t="str">
        <f>VLOOKUP(B1885, '[1]DAR area codes'!A:B,2,FALSE)</f>
        <v>oahu</v>
      </c>
      <c r="D1885" s="4">
        <v>1461</v>
      </c>
      <c r="E1885" s="6">
        <v>680</v>
      </c>
      <c r="F1885" s="3">
        <v>548</v>
      </c>
      <c r="G1885" s="3">
        <v>139734</v>
      </c>
    </row>
    <row r="1886" spans="1:7" x14ac:dyDescent="0.2">
      <c r="A1886" s="3">
        <v>1999</v>
      </c>
      <c r="B1886" s="3">
        <v>423</v>
      </c>
      <c r="C1886" s="3" t="str">
        <f>VLOOKUP(B1886, '[1]DAR area codes'!A:B,2,FALSE)</f>
        <v>oahu</v>
      </c>
      <c r="D1886" s="4">
        <v>1704</v>
      </c>
      <c r="E1886" s="6">
        <v>1815</v>
      </c>
      <c r="F1886" s="3">
        <v>2325</v>
      </c>
      <c r="G1886" s="3">
        <v>434120</v>
      </c>
    </row>
    <row r="1887" spans="1:7" x14ac:dyDescent="0.2">
      <c r="A1887" s="3">
        <v>1999</v>
      </c>
      <c r="B1887" s="3">
        <v>424</v>
      </c>
      <c r="C1887" s="3" t="str">
        <f>VLOOKUP(B1887, '[1]DAR area codes'!A:B,2,FALSE)</f>
        <v>oahu</v>
      </c>
      <c r="D1887" s="4">
        <v>6749</v>
      </c>
      <c r="E1887" s="6">
        <v>993</v>
      </c>
      <c r="F1887" s="3">
        <v>210</v>
      </c>
      <c r="G1887" s="3">
        <v>166521</v>
      </c>
    </row>
    <row r="1888" spans="1:7" x14ac:dyDescent="0.2">
      <c r="A1888" s="3">
        <v>1999</v>
      </c>
      <c r="B1888" s="3">
        <v>425</v>
      </c>
      <c r="C1888" s="3" t="str">
        <f>VLOOKUP(B1888, '[1]DAR area codes'!A:B,2,FALSE)</f>
        <v>oahu</v>
      </c>
      <c r="D1888" s="4">
        <v>2853</v>
      </c>
      <c r="E1888" s="6">
        <v>352</v>
      </c>
      <c r="F1888" s="3">
        <v>40</v>
      </c>
      <c r="G1888" s="3">
        <v>194187</v>
      </c>
    </row>
    <row r="1889" spans="1:7" x14ac:dyDescent="0.2">
      <c r="A1889" s="3">
        <v>1999</v>
      </c>
      <c r="B1889" s="3">
        <v>426</v>
      </c>
      <c r="C1889" s="3" t="str">
        <f>VLOOKUP(B1889, '[1]DAR area codes'!A:B,2,FALSE)</f>
        <v>oahu</v>
      </c>
      <c r="D1889" s="4">
        <v>266</v>
      </c>
      <c r="E1889" s="6"/>
      <c r="F1889" s="3">
        <v>0</v>
      </c>
      <c r="G1889" s="3">
        <v>211413</v>
      </c>
    </row>
    <row r="1890" spans="1:7" x14ac:dyDescent="0.2">
      <c r="A1890" s="3">
        <v>1999</v>
      </c>
      <c r="B1890" s="3">
        <v>427</v>
      </c>
      <c r="C1890" s="3" t="str">
        <f>VLOOKUP(B1890, '[1]DAR area codes'!A:B,2,FALSE)</f>
        <v>oahu</v>
      </c>
      <c r="D1890" s="4">
        <v>515.5</v>
      </c>
      <c r="E1890" s="6"/>
      <c r="F1890" s="3">
        <v>0</v>
      </c>
      <c r="G1890" s="3">
        <v>284297</v>
      </c>
    </row>
    <row r="1891" spans="1:7" x14ac:dyDescent="0.2">
      <c r="A1891" s="3">
        <v>1999</v>
      </c>
      <c r="B1891" s="3">
        <v>428</v>
      </c>
      <c r="C1891" s="3" t="str">
        <f>VLOOKUP(B1891, '[1]DAR area codes'!A:B,2,FALSE)</f>
        <v>oahu</v>
      </c>
      <c r="D1891" s="4">
        <v>1821</v>
      </c>
      <c r="E1891" s="6"/>
      <c r="F1891" s="3">
        <v>0</v>
      </c>
      <c r="G1891" s="3">
        <v>175837</v>
      </c>
    </row>
    <row r="1892" spans="1:7" x14ac:dyDescent="0.2">
      <c r="A1892" s="3">
        <v>1999</v>
      </c>
      <c r="B1892" s="3">
        <v>429</v>
      </c>
      <c r="C1892" s="3" t="str">
        <f>VLOOKUP(B1892, '[1]DAR area codes'!A:B,2,FALSE)</f>
        <v>oahu</v>
      </c>
      <c r="D1892" s="4">
        <v>5047</v>
      </c>
      <c r="E1892" s="6">
        <v>1104</v>
      </c>
      <c r="F1892" s="3">
        <v>64</v>
      </c>
      <c r="G1892" s="3">
        <v>27688</v>
      </c>
    </row>
    <row r="1893" spans="1:7" x14ac:dyDescent="0.2">
      <c r="A1893" s="3">
        <v>1999</v>
      </c>
      <c r="B1893" s="3">
        <v>500</v>
      </c>
      <c r="C1893" s="3" t="str">
        <f>VLOOKUP(B1893, '[1]DAR area codes'!A:B,2,FALSE)</f>
        <v>kauai</v>
      </c>
      <c r="D1893" s="4">
        <v>2654</v>
      </c>
      <c r="E1893" s="6">
        <v>7286</v>
      </c>
      <c r="F1893" s="3">
        <v>341659</v>
      </c>
      <c r="G1893" s="3">
        <v>16072.88</v>
      </c>
    </row>
    <row r="1894" spans="1:7" x14ac:dyDescent="0.2">
      <c r="A1894" s="3">
        <v>1999</v>
      </c>
      <c r="B1894" s="3">
        <v>501</v>
      </c>
      <c r="C1894" s="3" t="str">
        <f>VLOOKUP(B1894, '[1]DAR area codes'!A:B,2,FALSE)</f>
        <v>kauai</v>
      </c>
      <c r="E1894" s="6">
        <v>523</v>
      </c>
      <c r="F1894" s="3">
        <v>2307</v>
      </c>
      <c r="G1894" s="3">
        <v>2354</v>
      </c>
    </row>
    <row r="1895" spans="1:7" x14ac:dyDescent="0.2">
      <c r="A1895" s="3">
        <v>1999</v>
      </c>
      <c r="B1895" s="3">
        <v>502</v>
      </c>
      <c r="C1895" s="3" t="str">
        <f>VLOOKUP(B1895, '[1]DAR area codes'!A:B,2,FALSE)</f>
        <v>kauai</v>
      </c>
      <c r="D1895" s="4">
        <v>839</v>
      </c>
      <c r="E1895" s="6">
        <v>322</v>
      </c>
      <c r="F1895" s="3">
        <v>77</v>
      </c>
      <c r="G1895" s="3">
        <v>4212</v>
      </c>
    </row>
    <row r="1896" spans="1:7" x14ac:dyDescent="0.2">
      <c r="A1896" s="3">
        <v>1999</v>
      </c>
      <c r="B1896" s="3">
        <v>503</v>
      </c>
      <c r="C1896" s="3" t="str">
        <f>VLOOKUP(B1896, '[1]DAR area codes'!A:B,2,FALSE)</f>
        <v>kauai</v>
      </c>
      <c r="E1896" s="6">
        <v>623</v>
      </c>
      <c r="F1896" s="3">
        <v>41426</v>
      </c>
      <c r="G1896" s="3">
        <v>10446</v>
      </c>
    </row>
    <row r="1897" spans="1:7" x14ac:dyDescent="0.2">
      <c r="A1897" s="3">
        <v>1999</v>
      </c>
      <c r="B1897" s="3">
        <v>504</v>
      </c>
      <c r="C1897" s="3" t="str">
        <f>VLOOKUP(B1897, '[1]DAR area codes'!A:B,2,FALSE)</f>
        <v>kauai</v>
      </c>
      <c r="D1897" s="4">
        <v>1532</v>
      </c>
      <c r="E1897" s="6">
        <v>1515</v>
      </c>
      <c r="F1897" s="3">
        <v>33193</v>
      </c>
      <c r="G1897" s="3">
        <v>17415</v>
      </c>
    </row>
    <row r="1898" spans="1:7" x14ac:dyDescent="0.2">
      <c r="A1898" s="3">
        <v>1999</v>
      </c>
      <c r="B1898" s="3">
        <v>505</v>
      </c>
      <c r="C1898" s="3" t="str">
        <f>VLOOKUP(B1898, '[1]DAR area codes'!A:B,2,FALSE)</f>
        <v>kauai</v>
      </c>
      <c r="D1898" s="4">
        <v>759</v>
      </c>
      <c r="E1898" s="6">
        <v>1921</v>
      </c>
      <c r="F1898" s="3">
        <v>1097</v>
      </c>
      <c r="G1898" s="3">
        <v>16857</v>
      </c>
    </row>
    <row r="1899" spans="1:7" x14ac:dyDescent="0.2">
      <c r="A1899" s="3">
        <v>1999</v>
      </c>
      <c r="B1899" s="3">
        <v>506</v>
      </c>
      <c r="C1899" s="3" t="str">
        <f>VLOOKUP(B1899, '[1]DAR area codes'!A:B,2,FALSE)</f>
        <v>kauai</v>
      </c>
      <c r="D1899" s="4">
        <v>932</v>
      </c>
      <c r="E1899" s="6">
        <v>841</v>
      </c>
      <c r="F1899" s="3">
        <v>190423</v>
      </c>
      <c r="G1899" s="3">
        <v>8210</v>
      </c>
    </row>
    <row r="1900" spans="1:7" x14ac:dyDescent="0.2">
      <c r="A1900" s="3">
        <v>1999</v>
      </c>
      <c r="B1900" s="3">
        <v>507</v>
      </c>
      <c r="C1900" s="3" t="str">
        <f>VLOOKUP(B1900, '[1]DAR area codes'!A:B,2,FALSE)</f>
        <v>kauai</v>
      </c>
      <c r="E1900" s="6"/>
      <c r="F1900" s="3">
        <v>0</v>
      </c>
      <c r="G1900" s="3">
        <v>0</v>
      </c>
    </row>
    <row r="1901" spans="1:7" x14ac:dyDescent="0.2">
      <c r="A1901" s="3">
        <v>1999</v>
      </c>
      <c r="B1901" s="3">
        <v>508</v>
      </c>
      <c r="C1901" s="3" t="str">
        <f>VLOOKUP(B1901, '[1]DAR area codes'!A:B,2,FALSE)</f>
        <v>kauai</v>
      </c>
      <c r="D1901" s="4">
        <v>483.46</v>
      </c>
      <c r="E1901" s="6"/>
      <c r="F1901" s="3">
        <v>0</v>
      </c>
      <c r="G1901" s="3">
        <v>15375</v>
      </c>
    </row>
    <row r="1902" spans="1:7" x14ac:dyDescent="0.2">
      <c r="A1902" s="3">
        <v>1999</v>
      </c>
      <c r="B1902" s="3">
        <v>520</v>
      </c>
      <c r="C1902" s="3" t="str">
        <f>VLOOKUP(B1902, '[1]DAR area codes'!A:B,2,FALSE)</f>
        <v>kauai</v>
      </c>
      <c r="D1902" s="4">
        <v>3607</v>
      </c>
      <c r="E1902" s="6">
        <v>3072</v>
      </c>
      <c r="F1902" s="3">
        <v>1720</v>
      </c>
      <c r="G1902" s="3">
        <v>233898</v>
      </c>
    </row>
    <row r="1903" spans="1:7" x14ac:dyDescent="0.2">
      <c r="A1903" s="3">
        <v>1999</v>
      </c>
      <c r="B1903" s="3">
        <v>521</v>
      </c>
      <c r="C1903" s="3" t="str">
        <f>VLOOKUP(B1903, '[1]DAR area codes'!A:B,2,FALSE)</f>
        <v>kauai</v>
      </c>
      <c r="D1903" s="4">
        <v>1553</v>
      </c>
      <c r="E1903" s="6">
        <v>382</v>
      </c>
      <c r="F1903" s="3">
        <v>0</v>
      </c>
      <c r="G1903" s="3">
        <v>12373</v>
      </c>
    </row>
    <row r="1904" spans="1:7" x14ac:dyDescent="0.2">
      <c r="A1904" s="3">
        <v>1999</v>
      </c>
      <c r="B1904" s="3">
        <v>522</v>
      </c>
      <c r="C1904" s="3" t="str">
        <f>VLOOKUP(B1904, '[1]DAR area codes'!A:B,2,FALSE)</f>
        <v>kauai</v>
      </c>
      <c r="E1904" s="6"/>
      <c r="F1904" s="3">
        <v>0</v>
      </c>
      <c r="G1904" s="3">
        <v>5814</v>
      </c>
    </row>
    <row r="1905" spans="1:7" x14ac:dyDescent="0.2">
      <c r="A1905" s="3">
        <v>1999</v>
      </c>
      <c r="B1905" s="3">
        <v>523</v>
      </c>
      <c r="C1905" s="3" t="str">
        <f>VLOOKUP(B1905, '[1]DAR area codes'!A:B,2,FALSE)</f>
        <v>kauai</v>
      </c>
      <c r="E1905" s="6"/>
      <c r="F1905" s="3">
        <v>0</v>
      </c>
      <c r="G1905" s="3">
        <v>97285</v>
      </c>
    </row>
    <row r="1906" spans="1:7" x14ac:dyDescent="0.2">
      <c r="A1906" s="3">
        <v>1999</v>
      </c>
      <c r="B1906" s="3">
        <v>524</v>
      </c>
      <c r="C1906" s="3" t="str">
        <f>VLOOKUP(B1906, '[1]DAR area codes'!A:B,2,FALSE)</f>
        <v>kauai</v>
      </c>
      <c r="D1906" s="4">
        <v>1723</v>
      </c>
      <c r="E1906" s="6">
        <v>2081</v>
      </c>
      <c r="F1906" s="3">
        <v>1595</v>
      </c>
      <c r="G1906" s="3">
        <v>156665</v>
      </c>
    </row>
    <row r="1907" spans="1:7" x14ac:dyDescent="0.2">
      <c r="A1907" s="3">
        <v>1999</v>
      </c>
      <c r="B1907" s="3">
        <v>525</v>
      </c>
      <c r="C1907" s="3" t="str">
        <f>VLOOKUP(B1907, '[1]DAR area codes'!A:B,2,FALSE)</f>
        <v>kauai</v>
      </c>
      <c r="D1907" s="4">
        <v>662</v>
      </c>
      <c r="E1907" s="6"/>
      <c r="F1907" s="3">
        <v>0</v>
      </c>
      <c r="G1907" s="3">
        <v>47240.5</v>
      </c>
    </row>
    <row r="1908" spans="1:7" x14ac:dyDescent="0.2">
      <c r="A1908" s="3">
        <v>1999</v>
      </c>
      <c r="B1908" s="3">
        <v>526</v>
      </c>
      <c r="C1908" s="3" t="str">
        <f>VLOOKUP(B1908, '[1]DAR area codes'!A:B,2,FALSE)</f>
        <v>kauai</v>
      </c>
      <c r="D1908" s="4">
        <v>3088</v>
      </c>
      <c r="E1908" s="6">
        <v>317</v>
      </c>
      <c r="F1908" s="3">
        <v>0</v>
      </c>
      <c r="G1908" s="3">
        <v>7493</v>
      </c>
    </row>
    <row r="1909" spans="1:7" x14ac:dyDescent="0.2">
      <c r="A1909" s="3">
        <v>1999</v>
      </c>
      <c r="B1909" s="3">
        <v>527</v>
      </c>
      <c r="C1909" s="3" t="str">
        <f>VLOOKUP(B1909, '[1]DAR area codes'!A:B,2,FALSE)</f>
        <v>kauai</v>
      </c>
      <c r="E1909" s="6"/>
      <c r="F1909" s="3">
        <v>0</v>
      </c>
      <c r="G1909" s="3">
        <v>7026</v>
      </c>
    </row>
    <row r="1910" spans="1:7" x14ac:dyDescent="0.2">
      <c r="A1910" s="3">
        <v>1999</v>
      </c>
      <c r="B1910" s="3">
        <v>528</v>
      </c>
      <c r="C1910" s="3" t="str">
        <f>VLOOKUP(B1910, '[1]DAR area codes'!A:B,2,FALSE)</f>
        <v>kauai</v>
      </c>
      <c r="E1910" s="6"/>
      <c r="F1910" s="3">
        <v>0</v>
      </c>
      <c r="G1910" s="3">
        <v>10427</v>
      </c>
    </row>
    <row r="1911" spans="1:7" x14ac:dyDescent="0.2">
      <c r="A1911" s="3">
        <v>1998</v>
      </c>
      <c r="B1911" s="3">
        <v>100</v>
      </c>
      <c r="C1911" s="3" t="str">
        <f>VLOOKUP(B1911, '[1]DAR area codes'!A:B,2,FALSE)</f>
        <v>hawaii</v>
      </c>
      <c r="D1911" s="4">
        <v>916</v>
      </c>
      <c r="E1911" s="6">
        <v>829</v>
      </c>
      <c r="F1911" s="3">
        <v>20921</v>
      </c>
      <c r="G1911" s="3">
        <v>22001</v>
      </c>
    </row>
    <row r="1912" spans="1:7" x14ac:dyDescent="0.2">
      <c r="A1912" s="3">
        <v>1998</v>
      </c>
      <c r="B1912" s="3">
        <v>101</v>
      </c>
      <c r="C1912" s="3" t="str">
        <f>VLOOKUP(B1912, '[1]DAR area codes'!A:B,2,FALSE)</f>
        <v>hawaii</v>
      </c>
      <c r="D1912" s="4">
        <v>1499</v>
      </c>
      <c r="E1912" s="6">
        <v>2357</v>
      </c>
      <c r="F1912" s="3">
        <v>187122</v>
      </c>
      <c r="G1912" s="3">
        <v>85384</v>
      </c>
    </row>
    <row r="1913" spans="1:7" x14ac:dyDescent="0.2">
      <c r="A1913" s="3">
        <v>1998</v>
      </c>
      <c r="B1913" s="3">
        <v>102</v>
      </c>
      <c r="C1913" s="3" t="str">
        <f>VLOOKUP(B1913, '[1]DAR area codes'!A:B,2,FALSE)</f>
        <v>hawaii</v>
      </c>
      <c r="D1913" s="4">
        <v>4091</v>
      </c>
      <c r="E1913" s="6">
        <v>2359</v>
      </c>
      <c r="F1913" s="3">
        <v>13389</v>
      </c>
      <c r="G1913" s="3">
        <v>50892</v>
      </c>
    </row>
    <row r="1914" spans="1:7" x14ac:dyDescent="0.2">
      <c r="A1914" s="3">
        <v>1998</v>
      </c>
      <c r="B1914" s="3">
        <v>103</v>
      </c>
      <c r="C1914" s="3" t="str">
        <f>VLOOKUP(B1914, '[1]DAR area codes'!A:B,2,FALSE)</f>
        <v>hawaii</v>
      </c>
      <c r="D1914" s="4">
        <v>2272</v>
      </c>
      <c r="E1914" s="6">
        <v>438</v>
      </c>
      <c r="F1914" s="3">
        <v>1759</v>
      </c>
      <c r="G1914" s="3">
        <v>1693</v>
      </c>
    </row>
    <row r="1915" spans="1:7" x14ac:dyDescent="0.2">
      <c r="A1915" s="3">
        <v>1998</v>
      </c>
      <c r="B1915" s="3">
        <v>104</v>
      </c>
      <c r="C1915" s="3" t="str">
        <f>VLOOKUP(B1915, '[1]DAR area codes'!A:B,2,FALSE)</f>
        <v>hawaii</v>
      </c>
      <c r="D1915" s="4">
        <v>771</v>
      </c>
      <c r="E1915" s="6"/>
      <c r="F1915" s="3">
        <v>2128</v>
      </c>
      <c r="G1915" s="3">
        <v>1434</v>
      </c>
    </row>
    <row r="1916" spans="1:7" x14ac:dyDescent="0.2">
      <c r="A1916" s="3">
        <v>1998</v>
      </c>
      <c r="B1916" s="3">
        <v>105</v>
      </c>
      <c r="C1916" s="3" t="str">
        <f>VLOOKUP(B1916, '[1]DAR area codes'!A:B,2,FALSE)</f>
        <v>hawaii</v>
      </c>
      <c r="D1916" s="4">
        <v>3111</v>
      </c>
      <c r="E1916" s="6">
        <v>714</v>
      </c>
      <c r="F1916" s="3">
        <v>34372</v>
      </c>
      <c r="G1916" s="3">
        <v>8588</v>
      </c>
    </row>
    <row r="1917" spans="1:7" x14ac:dyDescent="0.2">
      <c r="A1917" s="3">
        <v>1998</v>
      </c>
      <c r="B1917" s="3">
        <v>106</v>
      </c>
      <c r="C1917" s="3" t="str">
        <f>VLOOKUP(B1917, '[1]DAR area codes'!A:B,2,FALSE)</f>
        <v>hawaii</v>
      </c>
      <c r="D1917" s="4">
        <v>1547</v>
      </c>
      <c r="E1917" s="6">
        <v>559</v>
      </c>
      <c r="F1917" s="3">
        <v>19642</v>
      </c>
      <c r="G1917" s="3">
        <v>47628</v>
      </c>
    </row>
    <row r="1918" spans="1:7" x14ac:dyDescent="0.2">
      <c r="A1918" s="3">
        <v>1998</v>
      </c>
      <c r="B1918" s="3">
        <v>107</v>
      </c>
      <c r="C1918" s="3" t="str">
        <f>VLOOKUP(B1918, '[1]DAR area codes'!A:B,2,FALSE)</f>
        <v>hawaii</v>
      </c>
      <c r="D1918" s="4">
        <v>2433</v>
      </c>
      <c r="E1918" s="6">
        <v>474</v>
      </c>
      <c r="F1918" s="3">
        <v>1614</v>
      </c>
      <c r="G1918" s="3">
        <v>22733</v>
      </c>
    </row>
    <row r="1919" spans="1:7" x14ac:dyDescent="0.2">
      <c r="A1919" s="3">
        <v>1998</v>
      </c>
      <c r="B1919" s="3">
        <v>108</v>
      </c>
      <c r="C1919" s="3" t="str">
        <f>VLOOKUP(B1919, '[1]DAR area codes'!A:B,2,FALSE)</f>
        <v>hawaii</v>
      </c>
      <c r="D1919" s="4">
        <v>2311</v>
      </c>
      <c r="E1919" s="6">
        <v>1157</v>
      </c>
      <c r="F1919" s="3">
        <v>5672</v>
      </c>
      <c r="G1919" s="3">
        <v>17021</v>
      </c>
    </row>
    <row r="1920" spans="1:7" x14ac:dyDescent="0.2">
      <c r="A1920" s="3">
        <v>1998</v>
      </c>
      <c r="B1920" s="3">
        <v>120</v>
      </c>
      <c r="C1920" s="3" t="str">
        <f>VLOOKUP(B1920, '[1]DAR area codes'!A:B,2,FALSE)</f>
        <v>hawaii</v>
      </c>
      <c r="D1920" s="4">
        <v>4588.62</v>
      </c>
      <c r="E1920" s="6">
        <v>683</v>
      </c>
      <c r="F1920" s="3">
        <v>5523</v>
      </c>
      <c r="G1920" s="3">
        <v>120208.81</v>
      </c>
    </row>
    <row r="1921" spans="1:7" x14ac:dyDescent="0.2">
      <c r="A1921" s="3">
        <v>1998</v>
      </c>
      <c r="B1921" s="3">
        <v>121</v>
      </c>
      <c r="C1921" s="3" t="str">
        <f>VLOOKUP(B1921, '[1]DAR area codes'!A:B,2,FALSE)</f>
        <v>hawaii</v>
      </c>
      <c r="D1921" s="4">
        <v>7165</v>
      </c>
      <c r="E1921" s="6">
        <v>4492</v>
      </c>
      <c r="F1921" s="3">
        <v>61044</v>
      </c>
      <c r="G1921" s="3">
        <v>826393</v>
      </c>
    </row>
    <row r="1922" spans="1:7" x14ac:dyDescent="0.2">
      <c r="A1922" s="3">
        <v>1998</v>
      </c>
      <c r="B1922" s="3">
        <v>122</v>
      </c>
      <c r="C1922" s="3" t="str">
        <f>VLOOKUP(B1922, '[1]DAR area codes'!A:B,2,FALSE)</f>
        <v>hawaii</v>
      </c>
      <c r="D1922" s="4">
        <v>6889</v>
      </c>
      <c r="E1922" s="6">
        <v>7462</v>
      </c>
      <c r="F1922" s="3">
        <v>1426</v>
      </c>
      <c r="G1922" s="3">
        <v>98216.13</v>
      </c>
    </row>
    <row r="1923" spans="1:7" x14ac:dyDescent="0.2">
      <c r="A1923" s="3">
        <v>1998</v>
      </c>
      <c r="B1923" s="3">
        <v>123</v>
      </c>
      <c r="C1923" s="3" t="str">
        <f>VLOOKUP(B1923, '[1]DAR area codes'!A:B,2,FALSE)</f>
        <v>hawaii</v>
      </c>
      <c r="D1923" s="4">
        <v>5344</v>
      </c>
      <c r="E1923" s="6"/>
      <c r="F1923" s="3">
        <v>0</v>
      </c>
      <c r="G1923" s="3">
        <v>3749</v>
      </c>
    </row>
    <row r="1924" spans="1:7" x14ac:dyDescent="0.2">
      <c r="A1924" s="3">
        <v>1998</v>
      </c>
      <c r="B1924" s="3">
        <v>124</v>
      </c>
      <c r="C1924" s="3" t="str">
        <f>VLOOKUP(B1924, '[1]DAR area codes'!A:B,2,FALSE)</f>
        <v>hawaii</v>
      </c>
      <c r="D1924" s="4">
        <v>2633</v>
      </c>
      <c r="E1924" s="6"/>
      <c r="F1924" s="3">
        <v>32</v>
      </c>
      <c r="G1924" s="3">
        <v>22749</v>
      </c>
    </row>
    <row r="1925" spans="1:7" x14ac:dyDescent="0.2">
      <c r="A1925" s="3">
        <v>1998</v>
      </c>
      <c r="B1925" s="3">
        <v>125</v>
      </c>
      <c r="C1925" s="3" t="str">
        <f>VLOOKUP(B1925, '[1]DAR area codes'!A:B,2,FALSE)</f>
        <v>hawaii</v>
      </c>
      <c r="D1925" s="4">
        <v>1300</v>
      </c>
      <c r="E1925" s="6"/>
      <c r="F1925" s="3">
        <v>6032</v>
      </c>
      <c r="G1925" s="3">
        <v>282808</v>
      </c>
    </row>
    <row r="1926" spans="1:7" x14ac:dyDescent="0.2">
      <c r="A1926" s="3">
        <v>1998</v>
      </c>
      <c r="B1926" s="3">
        <v>126</v>
      </c>
      <c r="C1926" s="3" t="str">
        <f>VLOOKUP(B1926, '[1]DAR area codes'!A:B,2,FALSE)</f>
        <v>hawaii</v>
      </c>
      <c r="D1926" s="4">
        <v>3705</v>
      </c>
      <c r="E1926" s="6">
        <v>558</v>
      </c>
      <c r="F1926" s="3">
        <v>2043</v>
      </c>
      <c r="G1926" s="3">
        <v>544165</v>
      </c>
    </row>
    <row r="1927" spans="1:7" x14ac:dyDescent="0.2">
      <c r="A1927" s="3">
        <v>1998</v>
      </c>
      <c r="B1927" s="3">
        <v>127</v>
      </c>
      <c r="C1927" s="3" t="str">
        <f>VLOOKUP(B1927, '[1]DAR area codes'!A:B,2,FALSE)</f>
        <v>hawaii</v>
      </c>
      <c r="D1927" s="4">
        <v>1030</v>
      </c>
      <c r="E1927" s="6">
        <v>329</v>
      </c>
      <c r="F1927" s="3">
        <v>46</v>
      </c>
      <c r="G1927" s="3">
        <v>139081</v>
      </c>
    </row>
    <row r="1928" spans="1:7" x14ac:dyDescent="0.2">
      <c r="A1928" s="3">
        <v>1998</v>
      </c>
      <c r="B1928" s="3">
        <v>128</v>
      </c>
      <c r="C1928" s="3" t="str">
        <f>VLOOKUP(B1928, '[1]DAR area codes'!A:B,2,FALSE)</f>
        <v>hawaii</v>
      </c>
      <c r="D1928" s="4">
        <v>1324.6</v>
      </c>
      <c r="E1928" s="6">
        <v>81</v>
      </c>
      <c r="F1928" s="3">
        <v>0</v>
      </c>
      <c r="G1928" s="3">
        <v>3053.49</v>
      </c>
    </row>
    <row r="1929" spans="1:7" x14ac:dyDescent="0.2">
      <c r="A1929" s="3">
        <v>1998</v>
      </c>
      <c r="B1929" s="3">
        <v>300</v>
      </c>
      <c r="C1929" s="3" t="str">
        <f>VLOOKUP(B1929, '[1]DAR area codes'!A:B,2,FALSE)</f>
        <v>maui</v>
      </c>
      <c r="D1929" s="4">
        <v>716</v>
      </c>
      <c r="E1929" s="6">
        <v>3519</v>
      </c>
      <c r="F1929" s="3">
        <v>194874</v>
      </c>
      <c r="G1929" s="3">
        <v>648</v>
      </c>
    </row>
    <row r="1930" spans="1:7" x14ac:dyDescent="0.2">
      <c r="A1930" s="3">
        <v>1998</v>
      </c>
      <c r="B1930" s="3">
        <v>301</v>
      </c>
      <c r="C1930" s="3" t="str">
        <f>VLOOKUP(B1930, '[1]DAR area codes'!A:B,2,FALSE)</f>
        <v>maui</v>
      </c>
      <c r="D1930" s="4">
        <v>540</v>
      </c>
      <c r="E1930" s="6">
        <v>449</v>
      </c>
      <c r="F1930" s="3">
        <v>53571</v>
      </c>
      <c r="G1930" s="3">
        <v>67</v>
      </c>
    </row>
    <row r="1931" spans="1:7" x14ac:dyDescent="0.2">
      <c r="A1931" s="3">
        <v>1998</v>
      </c>
      <c r="B1931" s="3">
        <v>302</v>
      </c>
      <c r="C1931" s="3" t="str">
        <f>VLOOKUP(B1931, '[1]DAR area codes'!A:B,2,FALSE)</f>
        <v>maui</v>
      </c>
      <c r="D1931" s="4">
        <v>1756</v>
      </c>
      <c r="E1931" s="6">
        <v>1751</v>
      </c>
      <c r="F1931" s="3">
        <v>21041</v>
      </c>
      <c r="G1931" s="3">
        <v>2504</v>
      </c>
    </row>
    <row r="1932" spans="1:7" x14ac:dyDescent="0.2">
      <c r="A1932" s="3">
        <v>1998</v>
      </c>
      <c r="B1932" s="3">
        <v>303</v>
      </c>
      <c r="C1932" s="3" t="str">
        <f>VLOOKUP(B1932, '[1]DAR area codes'!A:B,2,FALSE)</f>
        <v>maui</v>
      </c>
      <c r="D1932" s="4">
        <v>3126</v>
      </c>
      <c r="E1932" s="6">
        <v>1026</v>
      </c>
      <c r="F1932" s="3">
        <v>1950</v>
      </c>
      <c r="G1932" s="3">
        <v>5969</v>
      </c>
    </row>
    <row r="1933" spans="1:7" x14ac:dyDescent="0.2">
      <c r="A1933" s="3">
        <v>1998</v>
      </c>
      <c r="B1933" s="3">
        <v>304</v>
      </c>
      <c r="C1933" s="3" t="str">
        <f>VLOOKUP(B1933, '[1]DAR area codes'!A:B,2,FALSE)</f>
        <v>maui</v>
      </c>
      <c r="D1933" s="4">
        <v>2879</v>
      </c>
      <c r="E1933" s="6">
        <v>2989</v>
      </c>
      <c r="F1933" s="3">
        <v>5159</v>
      </c>
      <c r="G1933" s="3">
        <v>3458</v>
      </c>
    </row>
    <row r="1934" spans="1:7" x14ac:dyDescent="0.2">
      <c r="A1934" s="3">
        <v>1998</v>
      </c>
      <c r="B1934" s="3">
        <v>305</v>
      </c>
      <c r="C1934" s="3" t="str">
        <f>VLOOKUP(B1934, '[1]DAR area codes'!A:B,2,FALSE)</f>
        <v>maui</v>
      </c>
      <c r="D1934" s="4">
        <v>6485</v>
      </c>
      <c r="E1934" s="6">
        <v>3071</v>
      </c>
      <c r="F1934" s="3">
        <v>37621</v>
      </c>
      <c r="G1934" s="3">
        <v>1491</v>
      </c>
    </row>
    <row r="1935" spans="1:7" x14ac:dyDescent="0.2">
      <c r="A1935" s="3">
        <v>1998</v>
      </c>
      <c r="B1935" s="3">
        <v>306</v>
      </c>
      <c r="C1935" s="3" t="str">
        <f>VLOOKUP(B1935, '[1]DAR area codes'!A:B,2,FALSE)</f>
        <v>maui</v>
      </c>
      <c r="D1935" s="4">
        <v>440</v>
      </c>
      <c r="E1935" s="6">
        <v>388</v>
      </c>
      <c r="F1935" s="3">
        <v>0</v>
      </c>
      <c r="G1935" s="3">
        <v>5756</v>
      </c>
    </row>
    <row r="1936" spans="1:7" x14ac:dyDescent="0.2">
      <c r="A1936" s="3">
        <v>1998</v>
      </c>
      <c r="B1936" s="3">
        <v>307</v>
      </c>
      <c r="C1936" s="3" t="str">
        <f>VLOOKUP(B1936, '[1]DAR area codes'!A:B,2,FALSE)</f>
        <v>maui</v>
      </c>
      <c r="E1936" s="6"/>
      <c r="F1936" s="3">
        <v>0</v>
      </c>
      <c r="G1936" s="3">
        <v>214</v>
      </c>
    </row>
    <row r="1937" spans="1:7" x14ac:dyDescent="0.2">
      <c r="A1937" s="3">
        <v>1998</v>
      </c>
      <c r="B1937" s="3">
        <v>308</v>
      </c>
      <c r="C1937" s="3" t="str">
        <f>VLOOKUP(B1937, '[1]DAR area codes'!A:B,2,FALSE)</f>
        <v>maui</v>
      </c>
      <c r="D1937" s="4">
        <v>2596.9699999999998</v>
      </c>
      <c r="E1937" s="6">
        <v>1825</v>
      </c>
      <c r="F1937" s="3">
        <v>4870</v>
      </c>
      <c r="G1937" s="3">
        <v>21599</v>
      </c>
    </row>
    <row r="1938" spans="1:7" x14ac:dyDescent="0.2">
      <c r="A1938" s="3">
        <v>1998</v>
      </c>
      <c r="B1938" s="3">
        <v>309</v>
      </c>
      <c r="C1938" s="3" t="str">
        <f>VLOOKUP(B1938, '[1]DAR area codes'!A:B,2,FALSE)</f>
        <v>maui</v>
      </c>
      <c r="E1938" s="6">
        <v>2209</v>
      </c>
      <c r="F1938" s="3">
        <v>1613</v>
      </c>
      <c r="G1938" s="3">
        <v>853</v>
      </c>
    </row>
    <row r="1939" spans="1:7" x14ac:dyDescent="0.2">
      <c r="A1939" s="3">
        <v>1998</v>
      </c>
      <c r="B1939" s="3">
        <v>310</v>
      </c>
      <c r="C1939" s="3" t="str">
        <f>VLOOKUP(B1939, '[1]DAR area codes'!A:B,2,FALSE)</f>
        <v>maui</v>
      </c>
      <c r="D1939" s="4">
        <v>3064.19</v>
      </c>
      <c r="E1939" s="6">
        <v>1029.94</v>
      </c>
      <c r="F1939" s="3">
        <v>3490</v>
      </c>
      <c r="G1939" s="3">
        <v>585</v>
      </c>
    </row>
    <row r="1940" spans="1:7" x14ac:dyDescent="0.2">
      <c r="A1940" s="3">
        <v>1998</v>
      </c>
      <c r="B1940" s="3">
        <v>311</v>
      </c>
      <c r="C1940" s="3" t="str">
        <f>VLOOKUP(B1940, '[1]DAR area codes'!A:B,2,FALSE)</f>
        <v>maui</v>
      </c>
      <c r="D1940" s="4">
        <v>790.5</v>
      </c>
      <c r="E1940" s="6"/>
      <c r="F1940" s="3">
        <v>1288</v>
      </c>
      <c r="G1940" s="3">
        <v>647</v>
      </c>
    </row>
    <row r="1941" spans="1:7" x14ac:dyDescent="0.2">
      <c r="A1941" s="3">
        <v>1998</v>
      </c>
      <c r="B1941" s="3">
        <v>312</v>
      </c>
      <c r="C1941" s="3" t="str">
        <f>VLOOKUP(B1941, '[1]DAR area codes'!A:B,2,FALSE)</f>
        <v>maui</v>
      </c>
      <c r="D1941" s="4">
        <v>1676.43</v>
      </c>
      <c r="E1941" s="6">
        <v>380.5</v>
      </c>
      <c r="F1941" s="3">
        <v>3016</v>
      </c>
      <c r="G1941" s="3">
        <v>386</v>
      </c>
    </row>
    <row r="1942" spans="1:7" x14ac:dyDescent="0.2">
      <c r="A1942" s="3">
        <v>1998</v>
      </c>
      <c r="B1942" s="3">
        <v>313</v>
      </c>
      <c r="C1942" s="3" t="str">
        <f>VLOOKUP(B1942, '[1]DAR area codes'!A:B,2,FALSE)</f>
        <v>maui</v>
      </c>
      <c r="D1942" s="4">
        <v>8376.52</v>
      </c>
      <c r="E1942" s="6">
        <v>2104.5</v>
      </c>
      <c r="F1942" s="3">
        <v>78.5</v>
      </c>
      <c r="G1942" s="3">
        <v>1407</v>
      </c>
    </row>
    <row r="1943" spans="1:7" x14ac:dyDescent="0.2">
      <c r="A1943" s="3">
        <v>1998</v>
      </c>
      <c r="B1943" s="3">
        <v>314</v>
      </c>
      <c r="C1943" s="3" t="str">
        <f>VLOOKUP(B1943, '[1]DAR area codes'!A:B,2,FALSE)</f>
        <v>maui</v>
      </c>
      <c r="D1943" s="4">
        <v>478</v>
      </c>
      <c r="E1943" s="6">
        <v>512</v>
      </c>
      <c r="F1943" s="3">
        <v>299</v>
      </c>
      <c r="G1943" s="3">
        <v>1988</v>
      </c>
    </row>
    <row r="1944" spans="1:7" x14ac:dyDescent="0.2">
      <c r="A1944" s="3">
        <v>1998</v>
      </c>
      <c r="B1944" s="3">
        <v>320</v>
      </c>
      <c r="C1944" s="3" t="str">
        <f>VLOOKUP(B1944, '[1]DAR area codes'!A:B,2,FALSE)</f>
        <v>maui</v>
      </c>
      <c r="D1944" s="4">
        <v>32884</v>
      </c>
      <c r="E1944" s="6">
        <v>5267</v>
      </c>
      <c r="F1944" s="3">
        <v>5619</v>
      </c>
      <c r="G1944" s="3">
        <v>27889</v>
      </c>
    </row>
    <row r="1945" spans="1:7" x14ac:dyDescent="0.2">
      <c r="A1945" s="3">
        <v>1998</v>
      </c>
      <c r="B1945" s="3">
        <v>321</v>
      </c>
      <c r="C1945" s="3" t="str">
        <f>VLOOKUP(B1945, '[1]DAR area codes'!A:B,2,FALSE)</f>
        <v>maui</v>
      </c>
      <c r="D1945" s="4">
        <v>27338.18</v>
      </c>
      <c r="E1945" s="6">
        <v>8049.64</v>
      </c>
      <c r="F1945" s="3">
        <v>4741</v>
      </c>
      <c r="G1945" s="3">
        <v>21783</v>
      </c>
    </row>
    <row r="1946" spans="1:7" x14ac:dyDescent="0.2">
      <c r="A1946" s="3">
        <v>1998</v>
      </c>
      <c r="B1946" s="3">
        <v>322</v>
      </c>
      <c r="C1946" s="3" t="str">
        <f>VLOOKUP(B1946, '[1]DAR area codes'!A:B,2,FALSE)</f>
        <v>maui</v>
      </c>
      <c r="D1946" s="4">
        <v>1973</v>
      </c>
      <c r="E1946" s="6"/>
      <c r="F1946" s="3">
        <v>0</v>
      </c>
      <c r="G1946" s="3">
        <v>11146</v>
      </c>
    </row>
    <row r="1947" spans="1:7" x14ac:dyDescent="0.2">
      <c r="A1947" s="3">
        <v>1998</v>
      </c>
      <c r="B1947" s="3">
        <v>323</v>
      </c>
      <c r="C1947" s="3" t="str">
        <f>VLOOKUP(B1947, '[1]DAR area codes'!A:B,2,FALSE)</f>
        <v>maui</v>
      </c>
      <c r="D1947" s="4">
        <v>473</v>
      </c>
      <c r="E1947" s="6"/>
      <c r="F1947" s="3">
        <v>86</v>
      </c>
      <c r="G1947" s="3">
        <v>95152</v>
      </c>
    </row>
    <row r="1948" spans="1:7" x14ac:dyDescent="0.2">
      <c r="A1948" s="3">
        <v>1998</v>
      </c>
      <c r="B1948" s="3">
        <v>324</v>
      </c>
      <c r="C1948" s="3" t="str">
        <f>VLOOKUP(B1948, '[1]DAR area codes'!A:B,2,FALSE)</f>
        <v>maui</v>
      </c>
      <c r="D1948" s="4">
        <v>1446</v>
      </c>
      <c r="E1948" s="6"/>
      <c r="F1948" s="3">
        <v>0</v>
      </c>
      <c r="G1948" s="3">
        <v>10640</v>
      </c>
    </row>
    <row r="1949" spans="1:7" x14ac:dyDescent="0.2">
      <c r="A1949" s="3">
        <v>1998</v>
      </c>
      <c r="B1949" s="3">
        <v>325</v>
      </c>
      <c r="C1949" s="3" t="str">
        <f>VLOOKUP(B1949, '[1]DAR area codes'!A:B,2,FALSE)</f>
        <v>maui</v>
      </c>
      <c r="D1949" s="4">
        <v>350</v>
      </c>
      <c r="E1949" s="6"/>
      <c r="F1949" s="3">
        <v>0</v>
      </c>
      <c r="G1949" s="3">
        <v>3196</v>
      </c>
    </row>
    <row r="1950" spans="1:7" x14ac:dyDescent="0.2">
      <c r="A1950" s="3">
        <v>1998</v>
      </c>
      <c r="B1950" s="3">
        <v>326</v>
      </c>
      <c r="C1950" s="3" t="str">
        <f>VLOOKUP(B1950, '[1]DAR area codes'!A:B,2,FALSE)</f>
        <v>maui</v>
      </c>
      <c r="D1950" s="4">
        <v>251</v>
      </c>
      <c r="E1950" s="6"/>
      <c r="F1950" s="3">
        <v>0</v>
      </c>
      <c r="G1950" s="3">
        <v>10301</v>
      </c>
    </row>
    <row r="1951" spans="1:7" x14ac:dyDescent="0.2">
      <c r="A1951" s="3">
        <v>1998</v>
      </c>
      <c r="B1951" s="3">
        <v>327</v>
      </c>
      <c r="C1951" s="3" t="str">
        <f>VLOOKUP(B1951, '[1]DAR area codes'!A:B,2,FALSE)</f>
        <v>maui</v>
      </c>
      <c r="D1951" s="4">
        <v>16201.59</v>
      </c>
      <c r="E1951" s="6">
        <v>2760.8</v>
      </c>
      <c r="F1951" s="3">
        <v>88</v>
      </c>
      <c r="G1951" s="3">
        <v>13283.2</v>
      </c>
    </row>
    <row r="1952" spans="1:7" x14ac:dyDescent="0.2">
      <c r="A1952" s="3">
        <v>1998</v>
      </c>
      <c r="B1952" s="3">
        <v>328</v>
      </c>
      <c r="C1952" s="3" t="str">
        <f>VLOOKUP(B1952, '[1]DAR area codes'!A:B,2,FALSE)</f>
        <v>maui</v>
      </c>
      <c r="D1952" s="4">
        <v>6658.5</v>
      </c>
      <c r="E1952" s="6">
        <v>418</v>
      </c>
      <c r="F1952" s="3">
        <v>25</v>
      </c>
      <c r="G1952" s="3">
        <v>143027</v>
      </c>
    </row>
    <row r="1953" spans="1:7" x14ac:dyDescent="0.2">
      <c r="A1953" s="3">
        <v>1998</v>
      </c>
      <c r="B1953" s="3">
        <v>331</v>
      </c>
      <c r="C1953" s="3" t="str">
        <f>VLOOKUP(B1953, '[1]DAR area codes'!A:B,2,FALSE)</f>
        <v>maui</v>
      </c>
      <c r="D1953" s="4">
        <v>43256.61</v>
      </c>
      <c r="E1953" s="6">
        <v>24147.68</v>
      </c>
      <c r="F1953" s="3">
        <v>1528</v>
      </c>
      <c r="G1953" s="3">
        <v>29290.33</v>
      </c>
    </row>
    <row r="1954" spans="1:7" x14ac:dyDescent="0.2">
      <c r="A1954" s="3">
        <v>1998</v>
      </c>
      <c r="B1954" s="3">
        <v>332</v>
      </c>
      <c r="C1954" s="3" t="str">
        <f>VLOOKUP(B1954, '[1]DAR area codes'!A:B,2,FALSE)</f>
        <v>maui</v>
      </c>
      <c r="D1954" s="4">
        <v>1444</v>
      </c>
      <c r="E1954" s="6"/>
      <c r="F1954" s="3">
        <v>0</v>
      </c>
      <c r="G1954" s="3">
        <v>21107</v>
      </c>
    </row>
    <row r="1955" spans="1:7" x14ac:dyDescent="0.2">
      <c r="A1955" s="3">
        <v>1998</v>
      </c>
      <c r="B1955" s="3">
        <v>333</v>
      </c>
      <c r="C1955" s="3" t="str">
        <f>VLOOKUP(B1955, '[1]DAR area codes'!A:B,2,FALSE)</f>
        <v>maui</v>
      </c>
      <c r="D1955" s="4">
        <v>1322</v>
      </c>
      <c r="E1955" s="6"/>
      <c r="F1955" s="3">
        <v>0</v>
      </c>
      <c r="G1955" s="3">
        <v>4885</v>
      </c>
    </row>
    <row r="1956" spans="1:7" x14ac:dyDescent="0.2">
      <c r="A1956" s="3">
        <v>1998</v>
      </c>
      <c r="B1956" s="3">
        <v>400</v>
      </c>
      <c r="C1956" s="3" t="str">
        <f>VLOOKUP(B1956, '[1]DAR area codes'!A:B,2,FALSE)</f>
        <v>oahu</v>
      </c>
      <c r="D1956" s="4">
        <v>192</v>
      </c>
      <c r="E1956" s="6">
        <v>838</v>
      </c>
      <c r="F1956" s="3">
        <v>35485</v>
      </c>
      <c r="G1956" s="3">
        <v>237</v>
      </c>
    </row>
    <row r="1957" spans="1:7" x14ac:dyDescent="0.2">
      <c r="A1957" s="3">
        <v>1998</v>
      </c>
      <c r="B1957" s="3">
        <v>401</v>
      </c>
      <c r="C1957" s="3" t="str">
        <f>VLOOKUP(B1957, '[1]DAR area codes'!A:B,2,FALSE)</f>
        <v>oahu</v>
      </c>
      <c r="D1957" s="4">
        <v>121</v>
      </c>
      <c r="E1957" s="6">
        <v>1239</v>
      </c>
      <c r="F1957" s="3">
        <v>106150</v>
      </c>
      <c r="G1957" s="3">
        <v>1656</v>
      </c>
    </row>
    <row r="1958" spans="1:7" x14ac:dyDescent="0.2">
      <c r="A1958" s="3">
        <v>1998</v>
      </c>
      <c r="B1958" s="3">
        <v>402</v>
      </c>
      <c r="C1958" s="3" t="str">
        <f>VLOOKUP(B1958, '[1]DAR area codes'!A:B,2,FALSE)</f>
        <v>oahu</v>
      </c>
      <c r="D1958" s="4">
        <v>145</v>
      </c>
      <c r="E1958" s="6">
        <v>1589</v>
      </c>
      <c r="F1958" s="3">
        <v>70811</v>
      </c>
      <c r="G1958" s="3">
        <v>5449</v>
      </c>
    </row>
    <row r="1959" spans="1:7" x14ac:dyDescent="0.2">
      <c r="A1959" s="3">
        <v>1998</v>
      </c>
      <c r="B1959" s="3">
        <v>403</v>
      </c>
      <c r="C1959" s="3" t="str">
        <f>VLOOKUP(B1959, '[1]DAR area codes'!A:B,2,FALSE)</f>
        <v>oahu</v>
      </c>
      <c r="D1959" s="4">
        <v>867</v>
      </c>
      <c r="E1959" s="6">
        <v>3028</v>
      </c>
      <c r="F1959" s="3">
        <v>221459</v>
      </c>
      <c r="G1959" s="3">
        <v>19121</v>
      </c>
    </row>
    <row r="1960" spans="1:7" x14ac:dyDescent="0.2">
      <c r="A1960" s="3">
        <v>1998</v>
      </c>
      <c r="B1960" s="3">
        <v>404</v>
      </c>
      <c r="C1960" s="3" t="str">
        <f>VLOOKUP(B1960, '[1]DAR area codes'!A:B,2,FALSE)</f>
        <v>oahu</v>
      </c>
      <c r="D1960" s="4">
        <v>1456</v>
      </c>
      <c r="E1960" s="6">
        <v>3571</v>
      </c>
      <c r="F1960" s="3">
        <v>116257</v>
      </c>
      <c r="G1960" s="3">
        <v>1356</v>
      </c>
    </row>
    <row r="1961" spans="1:7" x14ac:dyDescent="0.2">
      <c r="A1961" s="3">
        <v>1998</v>
      </c>
      <c r="B1961" s="3">
        <v>405</v>
      </c>
      <c r="C1961" s="3" t="str">
        <f>VLOOKUP(B1961, '[1]DAR area codes'!A:B,2,FALSE)</f>
        <v>oahu</v>
      </c>
      <c r="D1961" s="4">
        <v>2579</v>
      </c>
      <c r="E1961" s="6">
        <v>1636</v>
      </c>
      <c r="F1961" s="3">
        <v>33749</v>
      </c>
      <c r="G1961" s="3">
        <v>546</v>
      </c>
    </row>
    <row r="1962" spans="1:7" x14ac:dyDescent="0.2">
      <c r="A1962" s="3">
        <v>1998</v>
      </c>
      <c r="B1962" s="3">
        <v>406</v>
      </c>
      <c r="C1962" s="3" t="str">
        <f>VLOOKUP(B1962, '[1]DAR area codes'!A:B,2,FALSE)</f>
        <v>oahu</v>
      </c>
      <c r="E1962" s="6"/>
      <c r="F1962" s="3">
        <v>6366</v>
      </c>
      <c r="G1962" s="3">
        <v>0</v>
      </c>
    </row>
    <row r="1963" spans="1:7" x14ac:dyDescent="0.2">
      <c r="A1963" s="3">
        <v>1998</v>
      </c>
      <c r="B1963" s="3">
        <v>407</v>
      </c>
      <c r="C1963" s="3" t="str">
        <f>VLOOKUP(B1963, '[1]DAR area codes'!A:B,2,FALSE)</f>
        <v>oahu</v>
      </c>
      <c r="D1963" s="4">
        <v>609</v>
      </c>
      <c r="E1963" s="6">
        <v>613</v>
      </c>
      <c r="F1963" s="3">
        <v>41375</v>
      </c>
      <c r="G1963" s="3">
        <v>303</v>
      </c>
    </row>
    <row r="1964" spans="1:7" x14ac:dyDescent="0.2">
      <c r="A1964" s="3">
        <v>1998</v>
      </c>
      <c r="B1964" s="3">
        <v>408</v>
      </c>
      <c r="C1964" s="3" t="str">
        <f>VLOOKUP(B1964, '[1]DAR area codes'!A:B,2,FALSE)</f>
        <v>oahu</v>
      </c>
      <c r="D1964" s="4">
        <v>1725</v>
      </c>
      <c r="E1964" s="6">
        <v>321</v>
      </c>
      <c r="F1964" s="3">
        <v>28369</v>
      </c>
      <c r="G1964" s="3">
        <v>1012</v>
      </c>
    </row>
    <row r="1965" spans="1:7" x14ac:dyDescent="0.2">
      <c r="A1965" s="3">
        <v>1998</v>
      </c>
      <c r="B1965" s="3">
        <v>409</v>
      </c>
      <c r="C1965" s="3" t="str">
        <f>VLOOKUP(B1965, '[1]DAR area codes'!A:B,2,FALSE)</f>
        <v>oahu</v>
      </c>
      <c r="D1965" s="4">
        <v>512</v>
      </c>
      <c r="E1965" s="6">
        <v>376</v>
      </c>
      <c r="F1965" s="3">
        <v>29023</v>
      </c>
      <c r="G1965" s="3">
        <v>573</v>
      </c>
    </row>
    <row r="1966" spans="1:7" x14ac:dyDescent="0.2">
      <c r="A1966" s="3">
        <v>1998</v>
      </c>
      <c r="B1966" s="3">
        <v>420</v>
      </c>
      <c r="C1966" s="3" t="str">
        <f>VLOOKUP(B1966, '[1]DAR area codes'!A:B,2,FALSE)</f>
        <v>oahu</v>
      </c>
      <c r="D1966" s="4">
        <v>556</v>
      </c>
      <c r="E1966" s="6"/>
      <c r="F1966" s="3">
        <v>1370</v>
      </c>
      <c r="G1966" s="3">
        <v>44373</v>
      </c>
    </row>
    <row r="1967" spans="1:7" x14ac:dyDescent="0.2">
      <c r="A1967" s="3">
        <v>1998</v>
      </c>
      <c r="B1967" s="3">
        <v>421</v>
      </c>
      <c r="C1967" s="3" t="str">
        <f>VLOOKUP(B1967, '[1]DAR area codes'!A:B,2,FALSE)</f>
        <v>oahu</v>
      </c>
      <c r="D1967" s="4">
        <v>160</v>
      </c>
      <c r="E1967" s="6"/>
      <c r="F1967" s="3">
        <v>121</v>
      </c>
      <c r="G1967" s="3">
        <v>183922.75</v>
      </c>
    </row>
    <row r="1968" spans="1:7" x14ac:dyDescent="0.2">
      <c r="A1968" s="3">
        <v>1998</v>
      </c>
      <c r="B1968" s="3">
        <v>422</v>
      </c>
      <c r="C1968" s="3" t="str">
        <f>VLOOKUP(B1968, '[1]DAR area codes'!A:B,2,FALSE)</f>
        <v>oahu</v>
      </c>
      <c r="D1968" s="4">
        <v>461</v>
      </c>
      <c r="E1968" s="6"/>
      <c r="F1968" s="3">
        <v>0</v>
      </c>
      <c r="G1968" s="3">
        <v>190155.15</v>
      </c>
    </row>
    <row r="1969" spans="1:7" x14ac:dyDescent="0.2">
      <c r="A1969" s="3">
        <v>1998</v>
      </c>
      <c r="B1969" s="3">
        <v>423</v>
      </c>
      <c r="C1969" s="3" t="str">
        <f>VLOOKUP(B1969, '[1]DAR area codes'!A:B,2,FALSE)</f>
        <v>oahu</v>
      </c>
      <c r="D1969" s="4">
        <v>1525</v>
      </c>
      <c r="E1969" s="6">
        <v>985</v>
      </c>
      <c r="F1969" s="3">
        <v>4724</v>
      </c>
      <c r="G1969" s="3">
        <v>289046</v>
      </c>
    </row>
    <row r="1970" spans="1:7" x14ac:dyDescent="0.2">
      <c r="A1970" s="3">
        <v>1998</v>
      </c>
      <c r="B1970" s="3">
        <v>424</v>
      </c>
      <c r="C1970" s="3" t="str">
        <f>VLOOKUP(B1970, '[1]DAR area codes'!A:B,2,FALSE)</f>
        <v>oahu</v>
      </c>
      <c r="D1970" s="4">
        <v>4464</v>
      </c>
      <c r="E1970" s="6">
        <v>865</v>
      </c>
      <c r="F1970" s="3">
        <v>1353</v>
      </c>
      <c r="G1970" s="3">
        <v>54479</v>
      </c>
    </row>
    <row r="1971" spans="1:7" x14ac:dyDescent="0.2">
      <c r="A1971" s="3">
        <v>1998</v>
      </c>
      <c r="B1971" s="3">
        <v>425</v>
      </c>
      <c r="C1971" s="3" t="str">
        <f>VLOOKUP(B1971, '[1]DAR area codes'!A:B,2,FALSE)</f>
        <v>oahu</v>
      </c>
      <c r="D1971" s="4">
        <v>1392</v>
      </c>
      <c r="E1971" s="6"/>
      <c r="F1971" s="3">
        <v>0</v>
      </c>
      <c r="G1971" s="3">
        <v>132381</v>
      </c>
    </row>
    <row r="1972" spans="1:7" x14ac:dyDescent="0.2">
      <c r="A1972" s="3">
        <v>1998</v>
      </c>
      <c r="B1972" s="3">
        <v>426</v>
      </c>
      <c r="C1972" s="3" t="str">
        <f>VLOOKUP(B1972, '[1]DAR area codes'!A:B,2,FALSE)</f>
        <v>oahu</v>
      </c>
      <c r="E1972" s="6"/>
      <c r="F1972" s="3">
        <v>0</v>
      </c>
      <c r="G1972" s="3">
        <v>99803</v>
      </c>
    </row>
    <row r="1973" spans="1:7" x14ac:dyDescent="0.2">
      <c r="A1973" s="3">
        <v>1998</v>
      </c>
      <c r="B1973" s="3">
        <v>427</v>
      </c>
      <c r="C1973" s="3" t="str">
        <f>VLOOKUP(B1973, '[1]DAR area codes'!A:B,2,FALSE)</f>
        <v>oahu</v>
      </c>
      <c r="D1973" s="4">
        <v>413</v>
      </c>
      <c r="E1973" s="6"/>
      <c r="F1973" s="3">
        <v>0</v>
      </c>
      <c r="G1973" s="3">
        <v>94916</v>
      </c>
    </row>
    <row r="1974" spans="1:7" x14ac:dyDescent="0.2">
      <c r="A1974" s="3">
        <v>1998</v>
      </c>
      <c r="B1974" s="3">
        <v>428</v>
      </c>
      <c r="C1974" s="3" t="str">
        <f>VLOOKUP(B1974, '[1]DAR area codes'!A:B,2,FALSE)</f>
        <v>oahu</v>
      </c>
      <c r="D1974" s="4">
        <v>2447</v>
      </c>
      <c r="E1974" s="6"/>
      <c r="F1974" s="3">
        <v>0</v>
      </c>
      <c r="G1974" s="3">
        <v>23703</v>
      </c>
    </row>
    <row r="1975" spans="1:7" x14ac:dyDescent="0.2">
      <c r="A1975" s="3">
        <v>1998</v>
      </c>
      <c r="B1975" s="3">
        <v>429</v>
      </c>
      <c r="C1975" s="3" t="str">
        <f>VLOOKUP(B1975, '[1]DAR area codes'!A:B,2,FALSE)</f>
        <v>oahu</v>
      </c>
      <c r="D1975" s="4">
        <v>3696</v>
      </c>
      <c r="E1975" s="6"/>
      <c r="F1975" s="3">
        <v>0</v>
      </c>
      <c r="G1975" s="3">
        <v>96017</v>
      </c>
    </row>
    <row r="1976" spans="1:7" x14ac:dyDescent="0.2">
      <c r="A1976" s="3">
        <v>1998</v>
      </c>
      <c r="B1976" s="3">
        <v>500</v>
      </c>
      <c r="C1976" s="3" t="str">
        <f>VLOOKUP(B1976, '[1]DAR area codes'!A:B,2,FALSE)</f>
        <v>kauai</v>
      </c>
      <c r="D1976" s="4">
        <v>1473</v>
      </c>
      <c r="E1976" s="6">
        <v>12345</v>
      </c>
      <c r="F1976" s="3">
        <v>318359</v>
      </c>
      <c r="G1976" s="3">
        <v>11425</v>
      </c>
    </row>
    <row r="1977" spans="1:7" x14ac:dyDescent="0.2">
      <c r="A1977" s="3">
        <v>1998</v>
      </c>
      <c r="B1977" s="3">
        <v>501</v>
      </c>
      <c r="C1977" s="3" t="str">
        <f>VLOOKUP(B1977, '[1]DAR area codes'!A:B,2,FALSE)</f>
        <v>kauai</v>
      </c>
      <c r="D1977" s="4">
        <v>143</v>
      </c>
      <c r="E1977" s="6">
        <v>372</v>
      </c>
      <c r="F1977" s="3">
        <v>6600</v>
      </c>
      <c r="G1977" s="3">
        <v>6190</v>
      </c>
    </row>
    <row r="1978" spans="1:7" x14ac:dyDescent="0.2">
      <c r="A1978" s="3">
        <v>1998</v>
      </c>
      <c r="B1978" s="3">
        <v>502</v>
      </c>
      <c r="C1978" s="3" t="str">
        <f>VLOOKUP(B1978, '[1]DAR area codes'!A:B,2,FALSE)</f>
        <v>kauai</v>
      </c>
      <c r="D1978" s="4">
        <v>263</v>
      </c>
      <c r="E1978" s="6"/>
      <c r="F1978" s="3">
        <v>0</v>
      </c>
      <c r="G1978" s="3">
        <v>3822</v>
      </c>
    </row>
    <row r="1979" spans="1:7" x14ac:dyDescent="0.2">
      <c r="A1979" s="3">
        <v>1998</v>
      </c>
      <c r="B1979" s="3">
        <v>503</v>
      </c>
      <c r="C1979" s="3" t="str">
        <f>VLOOKUP(B1979, '[1]DAR area codes'!A:B,2,FALSE)</f>
        <v>kauai</v>
      </c>
      <c r="D1979" s="4">
        <v>469</v>
      </c>
      <c r="E1979" s="6">
        <v>982</v>
      </c>
      <c r="F1979" s="3">
        <v>70349</v>
      </c>
      <c r="G1979" s="3">
        <v>6852</v>
      </c>
    </row>
    <row r="1980" spans="1:7" x14ac:dyDescent="0.2">
      <c r="A1980" s="3">
        <v>1998</v>
      </c>
      <c r="B1980" s="3">
        <v>504</v>
      </c>
      <c r="C1980" s="3" t="str">
        <f>VLOOKUP(B1980, '[1]DAR area codes'!A:B,2,FALSE)</f>
        <v>kauai</v>
      </c>
      <c r="D1980" s="4">
        <v>923</v>
      </c>
      <c r="E1980" s="6">
        <v>1586</v>
      </c>
      <c r="F1980" s="3">
        <v>77210</v>
      </c>
      <c r="G1980" s="3">
        <v>15642</v>
      </c>
    </row>
    <row r="1981" spans="1:7" x14ac:dyDescent="0.2">
      <c r="A1981" s="3">
        <v>1998</v>
      </c>
      <c r="B1981" s="3">
        <v>505</v>
      </c>
      <c r="C1981" s="3" t="str">
        <f>VLOOKUP(B1981, '[1]DAR area codes'!A:B,2,FALSE)</f>
        <v>kauai</v>
      </c>
      <c r="D1981" s="4">
        <v>4387</v>
      </c>
      <c r="E1981" s="6">
        <v>4732</v>
      </c>
      <c r="F1981" s="3">
        <v>1754</v>
      </c>
      <c r="G1981" s="3">
        <v>44053</v>
      </c>
    </row>
    <row r="1982" spans="1:7" x14ac:dyDescent="0.2">
      <c r="A1982" s="3">
        <v>1998</v>
      </c>
      <c r="B1982" s="3">
        <v>506</v>
      </c>
      <c r="C1982" s="3" t="str">
        <f>VLOOKUP(B1982, '[1]DAR area codes'!A:B,2,FALSE)</f>
        <v>kauai</v>
      </c>
      <c r="D1982" s="4">
        <v>3527</v>
      </c>
      <c r="E1982" s="6">
        <v>1606</v>
      </c>
      <c r="F1982" s="3">
        <v>34284</v>
      </c>
      <c r="G1982" s="3">
        <v>9981</v>
      </c>
    </row>
    <row r="1983" spans="1:7" x14ac:dyDescent="0.2">
      <c r="A1983" s="3">
        <v>1998</v>
      </c>
      <c r="B1983" s="3">
        <v>507</v>
      </c>
      <c r="C1983" s="3" t="str">
        <f>VLOOKUP(B1983, '[1]DAR area codes'!A:B,2,FALSE)</f>
        <v>kauai</v>
      </c>
      <c r="E1983" s="6"/>
      <c r="F1983" s="3">
        <v>0</v>
      </c>
      <c r="G1983" s="3">
        <v>0</v>
      </c>
    </row>
    <row r="1984" spans="1:7" x14ac:dyDescent="0.2">
      <c r="A1984" s="3">
        <v>1998</v>
      </c>
      <c r="B1984" s="3">
        <v>508</v>
      </c>
      <c r="C1984" s="3" t="str">
        <f>VLOOKUP(B1984, '[1]DAR area codes'!A:B,2,FALSE)</f>
        <v>kauai</v>
      </c>
      <c r="D1984" s="4">
        <v>2453</v>
      </c>
      <c r="E1984" s="6">
        <v>2917.6</v>
      </c>
      <c r="F1984" s="3">
        <v>134.5</v>
      </c>
      <c r="G1984" s="3">
        <v>33789.870000000003</v>
      </c>
    </row>
    <row r="1985" spans="1:7" x14ac:dyDescent="0.2">
      <c r="A1985" s="3">
        <v>1998</v>
      </c>
      <c r="B1985" s="3">
        <v>520</v>
      </c>
      <c r="C1985" s="3" t="str">
        <f>VLOOKUP(B1985, '[1]DAR area codes'!A:B,2,FALSE)</f>
        <v>kauai</v>
      </c>
      <c r="D1985" s="4">
        <v>1015</v>
      </c>
      <c r="E1985" s="6">
        <v>2553</v>
      </c>
      <c r="F1985" s="3">
        <v>3959</v>
      </c>
      <c r="G1985" s="3">
        <v>218915</v>
      </c>
    </row>
    <row r="1986" spans="1:7" x14ac:dyDescent="0.2">
      <c r="A1986" s="3">
        <v>1998</v>
      </c>
      <c r="B1986" s="3">
        <v>521</v>
      </c>
      <c r="C1986" s="3" t="str">
        <f>VLOOKUP(B1986, '[1]DAR area codes'!A:B,2,FALSE)</f>
        <v>kauai</v>
      </c>
      <c r="D1986" s="4">
        <v>856</v>
      </c>
      <c r="E1986" s="6">
        <v>429</v>
      </c>
      <c r="F1986" s="3">
        <v>111</v>
      </c>
      <c r="G1986" s="3">
        <v>24021</v>
      </c>
    </row>
    <row r="1987" spans="1:7" x14ac:dyDescent="0.2">
      <c r="A1987" s="3">
        <v>1998</v>
      </c>
      <c r="B1987" s="3">
        <v>522</v>
      </c>
      <c r="C1987" s="3" t="str">
        <f>VLOOKUP(B1987, '[1]DAR area codes'!A:B,2,FALSE)</f>
        <v>kauai</v>
      </c>
      <c r="E1987" s="6"/>
      <c r="F1987" s="3">
        <v>0</v>
      </c>
      <c r="G1987" s="3">
        <v>2439</v>
      </c>
    </row>
    <row r="1988" spans="1:7" x14ac:dyDescent="0.2">
      <c r="A1988" s="3">
        <v>1998</v>
      </c>
      <c r="B1988" s="3">
        <v>523</v>
      </c>
      <c r="C1988" s="3" t="str">
        <f>VLOOKUP(B1988, '[1]DAR area codes'!A:B,2,FALSE)</f>
        <v>kauai</v>
      </c>
      <c r="D1988" s="4">
        <v>264</v>
      </c>
      <c r="E1988" s="6">
        <v>854</v>
      </c>
      <c r="F1988" s="3">
        <v>0</v>
      </c>
      <c r="G1988" s="3">
        <v>30600</v>
      </c>
    </row>
    <row r="1989" spans="1:7" x14ac:dyDescent="0.2">
      <c r="A1989" s="3">
        <v>1998</v>
      </c>
      <c r="B1989" s="3">
        <v>524</v>
      </c>
      <c r="C1989" s="3" t="str">
        <f>VLOOKUP(B1989, '[1]DAR area codes'!A:B,2,FALSE)</f>
        <v>kauai</v>
      </c>
      <c r="D1989" s="4">
        <v>3109</v>
      </c>
      <c r="E1989" s="6">
        <v>5224</v>
      </c>
      <c r="F1989" s="3">
        <v>1250</v>
      </c>
      <c r="G1989" s="3">
        <v>72879</v>
      </c>
    </row>
    <row r="1990" spans="1:7" x14ac:dyDescent="0.2">
      <c r="A1990" s="3">
        <v>1998</v>
      </c>
      <c r="B1990" s="3">
        <v>525</v>
      </c>
      <c r="C1990" s="3" t="str">
        <f>VLOOKUP(B1990, '[1]DAR area codes'!A:B,2,FALSE)</f>
        <v>kauai</v>
      </c>
      <c r="D1990" s="4">
        <v>3187</v>
      </c>
      <c r="E1990" s="6">
        <v>3903</v>
      </c>
      <c r="F1990" s="3">
        <v>236</v>
      </c>
      <c r="G1990" s="3">
        <v>27078.720000000001</v>
      </c>
    </row>
    <row r="1991" spans="1:7" x14ac:dyDescent="0.2">
      <c r="A1991" s="3">
        <v>1998</v>
      </c>
      <c r="B1991" s="3">
        <v>526</v>
      </c>
      <c r="C1991" s="3" t="str">
        <f>VLOOKUP(B1991, '[1]DAR area codes'!A:B,2,FALSE)</f>
        <v>kauai</v>
      </c>
      <c r="E1991" s="6"/>
      <c r="F1991" s="3">
        <v>0</v>
      </c>
      <c r="G1991" s="3">
        <v>2493</v>
      </c>
    </row>
    <row r="1992" spans="1:7" x14ac:dyDescent="0.2">
      <c r="A1992" s="3">
        <v>1998</v>
      </c>
      <c r="B1992" s="3">
        <v>527</v>
      </c>
      <c r="C1992" s="3" t="str">
        <f>VLOOKUP(B1992, '[1]DAR area codes'!A:B,2,FALSE)</f>
        <v>kauai</v>
      </c>
      <c r="E1992" s="6">
        <v>1991.5</v>
      </c>
      <c r="F1992" s="3">
        <v>0</v>
      </c>
      <c r="G1992" s="3">
        <v>18874.440000000002</v>
      </c>
    </row>
    <row r="1993" spans="1:7" x14ac:dyDescent="0.2">
      <c r="A1993" s="3">
        <v>1998</v>
      </c>
      <c r="B1993" s="3">
        <v>528</v>
      </c>
      <c r="C1993" s="3" t="str">
        <f>VLOOKUP(B1993, '[1]DAR area codes'!A:B,2,FALSE)</f>
        <v>kauai</v>
      </c>
      <c r="E1993" s="6"/>
      <c r="F1993" s="3">
        <v>0</v>
      </c>
      <c r="G1993" s="3">
        <v>35984</v>
      </c>
    </row>
    <row r="1994" spans="1:7" x14ac:dyDescent="0.2">
      <c r="A1994" s="3">
        <v>1997</v>
      </c>
      <c r="B1994" s="3">
        <v>100</v>
      </c>
      <c r="C1994" s="3" t="str">
        <f>VLOOKUP(B1994, '[1]DAR area codes'!A:B,2,FALSE)</f>
        <v>hawaii</v>
      </c>
      <c r="D1994" s="4">
        <v>1914.54</v>
      </c>
      <c r="E1994" s="6">
        <v>1556.5</v>
      </c>
      <c r="F1994" s="3">
        <v>15251</v>
      </c>
      <c r="G1994" s="3">
        <v>29371.5</v>
      </c>
    </row>
    <row r="1995" spans="1:7" x14ac:dyDescent="0.2">
      <c r="A1995" s="3">
        <v>1997</v>
      </c>
      <c r="B1995" s="3">
        <v>101</v>
      </c>
      <c r="C1995" s="3" t="str">
        <f>VLOOKUP(B1995, '[1]DAR area codes'!A:B,2,FALSE)</f>
        <v>hawaii</v>
      </c>
      <c r="D1995" s="4">
        <v>958</v>
      </c>
      <c r="E1995" s="6">
        <v>1734</v>
      </c>
      <c r="F1995" s="3">
        <v>160143</v>
      </c>
      <c r="G1995" s="3">
        <v>88105</v>
      </c>
    </row>
    <row r="1996" spans="1:7" x14ac:dyDescent="0.2">
      <c r="A1996" s="3">
        <v>1997</v>
      </c>
      <c r="B1996" s="3">
        <v>102</v>
      </c>
      <c r="C1996" s="3" t="str">
        <f>VLOOKUP(B1996, '[1]DAR area codes'!A:B,2,FALSE)</f>
        <v>hawaii</v>
      </c>
      <c r="D1996" s="4">
        <v>4066</v>
      </c>
      <c r="E1996" s="6">
        <v>2918</v>
      </c>
      <c r="F1996" s="3">
        <v>25154</v>
      </c>
      <c r="G1996" s="3">
        <v>33181</v>
      </c>
    </row>
    <row r="1997" spans="1:7" x14ac:dyDescent="0.2">
      <c r="A1997" s="3">
        <v>1997</v>
      </c>
      <c r="B1997" s="3">
        <v>103</v>
      </c>
      <c r="C1997" s="3" t="str">
        <f>VLOOKUP(B1997, '[1]DAR area codes'!A:B,2,FALSE)</f>
        <v>hawaii</v>
      </c>
      <c r="D1997" s="4">
        <v>4332</v>
      </c>
      <c r="E1997" s="6">
        <v>2208</v>
      </c>
      <c r="F1997" s="3">
        <v>4006</v>
      </c>
      <c r="G1997" s="3">
        <v>5066</v>
      </c>
    </row>
    <row r="1998" spans="1:7" x14ac:dyDescent="0.2">
      <c r="A1998" s="3">
        <v>1997</v>
      </c>
      <c r="B1998" s="3">
        <v>104</v>
      </c>
      <c r="C1998" s="3" t="str">
        <f>VLOOKUP(B1998, '[1]DAR area codes'!A:B,2,FALSE)</f>
        <v>hawaii</v>
      </c>
      <c r="D1998" s="4">
        <v>538</v>
      </c>
      <c r="E1998" s="6">
        <v>79</v>
      </c>
      <c r="F1998" s="3">
        <v>4912</v>
      </c>
      <c r="G1998" s="3">
        <v>795</v>
      </c>
    </row>
    <row r="1999" spans="1:7" x14ac:dyDescent="0.2">
      <c r="A1999" s="3">
        <v>1997</v>
      </c>
      <c r="B1999" s="3">
        <v>105</v>
      </c>
      <c r="C1999" s="3" t="str">
        <f>VLOOKUP(B1999, '[1]DAR area codes'!A:B,2,FALSE)</f>
        <v>hawaii</v>
      </c>
      <c r="D1999" s="4">
        <v>3107</v>
      </c>
      <c r="E1999" s="6">
        <v>507</v>
      </c>
      <c r="F1999" s="3">
        <v>24575</v>
      </c>
      <c r="G1999" s="3">
        <v>17586</v>
      </c>
    </row>
    <row r="2000" spans="1:7" x14ac:dyDescent="0.2">
      <c r="A2000" s="3">
        <v>1997</v>
      </c>
      <c r="B2000" s="3">
        <v>106</v>
      </c>
      <c r="C2000" s="3" t="str">
        <f>VLOOKUP(B2000, '[1]DAR area codes'!A:B,2,FALSE)</f>
        <v>hawaii</v>
      </c>
      <c r="D2000" s="4">
        <v>2837</v>
      </c>
      <c r="E2000" s="6">
        <v>1166</v>
      </c>
      <c r="F2000" s="3">
        <v>21269</v>
      </c>
      <c r="G2000" s="3">
        <v>48769</v>
      </c>
    </row>
    <row r="2001" spans="1:7" x14ac:dyDescent="0.2">
      <c r="A2001" s="3">
        <v>1997</v>
      </c>
      <c r="B2001" s="3">
        <v>107</v>
      </c>
      <c r="C2001" s="3" t="str">
        <f>VLOOKUP(B2001, '[1]DAR area codes'!A:B,2,FALSE)</f>
        <v>hawaii</v>
      </c>
      <c r="D2001" s="4">
        <v>945</v>
      </c>
      <c r="E2001" s="6">
        <v>303</v>
      </c>
      <c r="F2001" s="3">
        <v>3021</v>
      </c>
      <c r="G2001" s="3">
        <v>30294</v>
      </c>
    </row>
    <row r="2002" spans="1:7" x14ac:dyDescent="0.2">
      <c r="A2002" s="3">
        <v>1997</v>
      </c>
      <c r="B2002" s="3">
        <v>108</v>
      </c>
      <c r="C2002" s="3" t="str">
        <f>VLOOKUP(B2002, '[1]DAR area codes'!A:B,2,FALSE)</f>
        <v>hawaii</v>
      </c>
      <c r="D2002" s="4">
        <v>3471.77</v>
      </c>
      <c r="E2002" s="6">
        <v>801</v>
      </c>
      <c r="F2002" s="3">
        <v>3286</v>
      </c>
      <c r="G2002" s="3">
        <v>20592</v>
      </c>
    </row>
    <row r="2003" spans="1:7" x14ac:dyDescent="0.2">
      <c r="A2003" s="3">
        <v>1997</v>
      </c>
      <c r="B2003" s="3">
        <v>120</v>
      </c>
      <c r="C2003" s="3" t="str">
        <f>VLOOKUP(B2003, '[1]DAR area codes'!A:B,2,FALSE)</f>
        <v>hawaii</v>
      </c>
      <c r="D2003" s="4">
        <v>6480</v>
      </c>
      <c r="E2003" s="6">
        <v>1314</v>
      </c>
      <c r="F2003" s="3">
        <v>12629</v>
      </c>
      <c r="G2003" s="3">
        <v>109139.5</v>
      </c>
    </row>
    <row r="2004" spans="1:7" x14ac:dyDescent="0.2">
      <c r="A2004" s="3">
        <v>1997</v>
      </c>
      <c r="B2004" s="3">
        <v>121</v>
      </c>
      <c r="C2004" s="3" t="str">
        <f>VLOOKUP(B2004, '[1]DAR area codes'!A:B,2,FALSE)</f>
        <v>hawaii</v>
      </c>
      <c r="D2004" s="4">
        <v>7878</v>
      </c>
      <c r="E2004" s="6">
        <v>2618</v>
      </c>
      <c r="F2004" s="3">
        <v>54976</v>
      </c>
      <c r="G2004" s="3">
        <v>974356.69</v>
      </c>
    </row>
    <row r="2005" spans="1:7" x14ac:dyDescent="0.2">
      <c r="A2005" s="3">
        <v>1997</v>
      </c>
      <c r="B2005" s="3">
        <v>122</v>
      </c>
      <c r="C2005" s="3" t="str">
        <f>VLOOKUP(B2005, '[1]DAR area codes'!A:B,2,FALSE)</f>
        <v>hawaii</v>
      </c>
      <c r="D2005" s="4">
        <v>9774</v>
      </c>
      <c r="E2005" s="6">
        <v>4479</v>
      </c>
      <c r="F2005" s="3">
        <v>20121</v>
      </c>
      <c r="G2005" s="3">
        <v>110516</v>
      </c>
    </row>
    <row r="2006" spans="1:7" x14ac:dyDescent="0.2">
      <c r="A2006" s="3">
        <v>1997</v>
      </c>
      <c r="B2006" s="3">
        <v>123</v>
      </c>
      <c r="C2006" s="3" t="str">
        <f>VLOOKUP(B2006, '[1]DAR area codes'!A:B,2,FALSE)</f>
        <v>hawaii</v>
      </c>
      <c r="D2006" s="4">
        <v>4795</v>
      </c>
      <c r="E2006" s="6"/>
      <c r="F2006" s="3">
        <v>0</v>
      </c>
      <c r="G2006" s="3">
        <v>5469</v>
      </c>
    </row>
    <row r="2007" spans="1:7" x14ac:dyDescent="0.2">
      <c r="A2007" s="3">
        <v>1997</v>
      </c>
      <c r="B2007" s="3">
        <v>124</v>
      </c>
      <c r="C2007" s="3" t="str">
        <f>VLOOKUP(B2007, '[1]DAR area codes'!A:B,2,FALSE)</f>
        <v>hawaii</v>
      </c>
      <c r="E2007" s="6"/>
      <c r="F2007" s="3">
        <v>0</v>
      </c>
      <c r="G2007" s="3">
        <v>32591</v>
      </c>
    </row>
    <row r="2008" spans="1:7" x14ac:dyDescent="0.2">
      <c r="A2008" s="3">
        <v>1997</v>
      </c>
      <c r="B2008" s="3">
        <v>125</v>
      </c>
      <c r="C2008" s="3" t="str">
        <f>VLOOKUP(B2008, '[1]DAR area codes'!A:B,2,FALSE)</f>
        <v>hawaii</v>
      </c>
      <c r="D2008" s="4">
        <v>3818</v>
      </c>
      <c r="E2008" s="6">
        <v>420</v>
      </c>
      <c r="F2008" s="3">
        <v>6025</v>
      </c>
      <c r="G2008" s="3">
        <v>329409</v>
      </c>
    </row>
    <row r="2009" spans="1:7" x14ac:dyDescent="0.2">
      <c r="A2009" s="3">
        <v>1997</v>
      </c>
      <c r="B2009" s="3">
        <v>126</v>
      </c>
      <c r="C2009" s="3" t="str">
        <f>VLOOKUP(B2009, '[1]DAR area codes'!A:B,2,FALSE)</f>
        <v>hawaii</v>
      </c>
      <c r="D2009" s="4">
        <v>2589</v>
      </c>
      <c r="E2009" s="6">
        <v>436</v>
      </c>
      <c r="F2009" s="3">
        <v>4520</v>
      </c>
      <c r="G2009" s="3">
        <v>388714.41000000003</v>
      </c>
    </row>
    <row r="2010" spans="1:7" x14ac:dyDescent="0.2">
      <c r="A2010" s="3">
        <v>1997</v>
      </c>
      <c r="B2010" s="3">
        <v>127</v>
      </c>
      <c r="C2010" s="3" t="str">
        <f>VLOOKUP(B2010, '[1]DAR area codes'!A:B,2,FALSE)</f>
        <v>hawaii</v>
      </c>
      <c r="D2010" s="4">
        <v>776</v>
      </c>
      <c r="E2010" s="6">
        <v>137</v>
      </c>
      <c r="F2010" s="3">
        <v>441</v>
      </c>
      <c r="G2010" s="3">
        <v>153266.09</v>
      </c>
    </row>
    <row r="2011" spans="1:7" x14ac:dyDescent="0.2">
      <c r="A2011" s="3">
        <v>1997</v>
      </c>
      <c r="B2011" s="3">
        <v>128</v>
      </c>
      <c r="C2011" s="3" t="str">
        <f>VLOOKUP(B2011, '[1]DAR area codes'!A:B,2,FALSE)</f>
        <v>hawaii</v>
      </c>
      <c r="D2011" s="4">
        <v>856</v>
      </c>
      <c r="E2011" s="6"/>
      <c r="F2011" s="3">
        <v>0</v>
      </c>
      <c r="G2011" s="3">
        <v>9130.34</v>
      </c>
    </row>
    <row r="2012" spans="1:7" x14ac:dyDescent="0.2">
      <c r="A2012" s="3">
        <v>1997</v>
      </c>
      <c r="B2012" s="3">
        <v>300</v>
      </c>
      <c r="C2012" s="3" t="str">
        <f>VLOOKUP(B2012, '[1]DAR area codes'!A:B,2,FALSE)</f>
        <v>maui</v>
      </c>
      <c r="D2012" s="4">
        <v>1131</v>
      </c>
      <c r="E2012" s="6">
        <v>4649</v>
      </c>
      <c r="F2012" s="3">
        <v>104039</v>
      </c>
      <c r="G2012" s="3">
        <v>861</v>
      </c>
    </row>
    <row r="2013" spans="1:7" x14ac:dyDescent="0.2">
      <c r="A2013" s="3">
        <v>1997</v>
      </c>
      <c r="B2013" s="3">
        <v>301</v>
      </c>
      <c r="C2013" s="3" t="str">
        <f>VLOOKUP(B2013, '[1]DAR area codes'!A:B,2,FALSE)</f>
        <v>maui</v>
      </c>
      <c r="E2013" s="6">
        <v>1398</v>
      </c>
      <c r="F2013" s="3">
        <v>10794</v>
      </c>
      <c r="G2013" s="3">
        <v>170</v>
      </c>
    </row>
    <row r="2014" spans="1:7" x14ac:dyDescent="0.2">
      <c r="A2014" s="3">
        <v>1997</v>
      </c>
      <c r="B2014" s="3">
        <v>302</v>
      </c>
      <c r="C2014" s="3" t="str">
        <f>VLOOKUP(B2014, '[1]DAR area codes'!A:B,2,FALSE)</f>
        <v>maui</v>
      </c>
      <c r="D2014" s="4">
        <v>550</v>
      </c>
      <c r="E2014" s="6">
        <v>846</v>
      </c>
      <c r="F2014" s="3">
        <v>24688</v>
      </c>
      <c r="G2014" s="3">
        <v>4052</v>
      </c>
    </row>
    <row r="2015" spans="1:7" x14ac:dyDescent="0.2">
      <c r="A2015" s="3">
        <v>1997</v>
      </c>
      <c r="B2015" s="3">
        <v>303</v>
      </c>
      <c r="C2015" s="3" t="str">
        <f>VLOOKUP(B2015, '[1]DAR area codes'!A:B,2,FALSE)</f>
        <v>maui</v>
      </c>
      <c r="D2015" s="4">
        <v>5255</v>
      </c>
      <c r="E2015" s="6">
        <v>2618</v>
      </c>
      <c r="F2015" s="3">
        <v>3443</v>
      </c>
      <c r="G2015" s="3">
        <v>7930</v>
      </c>
    </row>
    <row r="2016" spans="1:7" x14ac:dyDescent="0.2">
      <c r="A2016" s="3">
        <v>1997</v>
      </c>
      <c r="B2016" s="3">
        <v>304</v>
      </c>
      <c r="C2016" s="3" t="str">
        <f>VLOOKUP(B2016, '[1]DAR area codes'!A:B,2,FALSE)</f>
        <v>maui</v>
      </c>
      <c r="D2016" s="4">
        <v>4244</v>
      </c>
      <c r="E2016" s="6">
        <v>1924</v>
      </c>
      <c r="F2016" s="3">
        <v>1404</v>
      </c>
      <c r="G2016" s="3">
        <v>3936</v>
      </c>
    </row>
    <row r="2017" spans="1:7" x14ac:dyDescent="0.2">
      <c r="A2017" s="3">
        <v>1997</v>
      </c>
      <c r="B2017" s="3">
        <v>305</v>
      </c>
      <c r="C2017" s="3" t="str">
        <f>VLOOKUP(B2017, '[1]DAR area codes'!A:B,2,FALSE)</f>
        <v>maui</v>
      </c>
      <c r="D2017" s="4">
        <v>7556</v>
      </c>
      <c r="E2017" s="6">
        <v>3407</v>
      </c>
      <c r="F2017" s="3">
        <v>52575</v>
      </c>
      <c r="G2017" s="3">
        <v>2696</v>
      </c>
    </row>
    <row r="2018" spans="1:7" x14ac:dyDescent="0.2">
      <c r="A2018" s="3">
        <v>1997</v>
      </c>
      <c r="B2018" s="3">
        <v>306</v>
      </c>
      <c r="C2018" s="3" t="str">
        <f>VLOOKUP(B2018, '[1]DAR area codes'!A:B,2,FALSE)</f>
        <v>maui</v>
      </c>
      <c r="D2018" s="4">
        <v>499</v>
      </c>
      <c r="E2018" s="6"/>
      <c r="F2018" s="3">
        <v>0</v>
      </c>
      <c r="G2018" s="3">
        <v>5050</v>
      </c>
    </row>
    <row r="2019" spans="1:7" x14ac:dyDescent="0.2">
      <c r="A2019" s="3">
        <v>1997</v>
      </c>
      <c r="B2019" s="3">
        <v>307</v>
      </c>
      <c r="C2019" s="3" t="str">
        <f>VLOOKUP(B2019, '[1]DAR area codes'!A:B,2,FALSE)</f>
        <v>maui</v>
      </c>
      <c r="E2019" s="6"/>
      <c r="F2019" s="3">
        <v>46</v>
      </c>
      <c r="G2019" s="3">
        <v>725</v>
      </c>
    </row>
    <row r="2020" spans="1:7" x14ac:dyDescent="0.2">
      <c r="A2020" s="3">
        <v>1997</v>
      </c>
      <c r="B2020" s="3">
        <v>308</v>
      </c>
      <c r="C2020" s="3" t="str">
        <f>VLOOKUP(B2020, '[1]DAR area codes'!A:B,2,FALSE)</f>
        <v>maui</v>
      </c>
      <c r="D2020" s="4">
        <v>2029</v>
      </c>
      <c r="E2020" s="6">
        <v>2699</v>
      </c>
      <c r="F2020" s="3">
        <v>4947</v>
      </c>
      <c r="G2020" s="3">
        <v>11237</v>
      </c>
    </row>
    <row r="2021" spans="1:7" x14ac:dyDescent="0.2">
      <c r="A2021" s="3">
        <v>1997</v>
      </c>
      <c r="B2021" s="3">
        <v>309</v>
      </c>
      <c r="C2021" s="3" t="str">
        <f>VLOOKUP(B2021, '[1]DAR area codes'!A:B,2,FALSE)</f>
        <v>maui</v>
      </c>
      <c r="E2021" s="6">
        <v>2251</v>
      </c>
      <c r="F2021" s="3">
        <v>771</v>
      </c>
      <c r="G2021" s="3">
        <v>1036</v>
      </c>
    </row>
    <row r="2022" spans="1:7" x14ac:dyDescent="0.2">
      <c r="A2022" s="3">
        <v>1997</v>
      </c>
      <c r="B2022" s="3">
        <v>310</v>
      </c>
      <c r="C2022" s="3" t="str">
        <f>VLOOKUP(B2022, '[1]DAR area codes'!A:B,2,FALSE)</f>
        <v>maui</v>
      </c>
      <c r="D2022" s="4">
        <v>4320.63</v>
      </c>
      <c r="E2022" s="6">
        <v>998</v>
      </c>
      <c r="F2022" s="3">
        <v>3968</v>
      </c>
      <c r="G2022" s="3">
        <v>1223</v>
      </c>
    </row>
    <row r="2023" spans="1:7" x14ac:dyDescent="0.2">
      <c r="A2023" s="3">
        <v>1997</v>
      </c>
      <c r="B2023" s="3">
        <v>311</v>
      </c>
      <c r="C2023" s="3" t="str">
        <f>VLOOKUP(B2023, '[1]DAR area codes'!A:B,2,FALSE)</f>
        <v>maui</v>
      </c>
      <c r="E2023" s="6"/>
      <c r="F2023" s="3">
        <v>76708</v>
      </c>
      <c r="G2023" s="3">
        <v>728</v>
      </c>
    </row>
    <row r="2024" spans="1:7" x14ac:dyDescent="0.2">
      <c r="A2024" s="3">
        <v>1997</v>
      </c>
      <c r="B2024" s="3">
        <v>312</v>
      </c>
      <c r="C2024" s="3" t="str">
        <f>VLOOKUP(B2024, '[1]DAR area codes'!A:B,2,FALSE)</f>
        <v>maui</v>
      </c>
      <c r="D2024" s="4">
        <v>972.77</v>
      </c>
      <c r="E2024" s="6">
        <v>292</v>
      </c>
      <c r="F2024" s="3">
        <v>3595</v>
      </c>
      <c r="G2024" s="3">
        <v>1428</v>
      </c>
    </row>
    <row r="2025" spans="1:7" x14ac:dyDescent="0.2">
      <c r="A2025" s="3">
        <v>1997</v>
      </c>
      <c r="B2025" s="3">
        <v>313</v>
      </c>
      <c r="C2025" s="3" t="str">
        <f>VLOOKUP(B2025, '[1]DAR area codes'!A:B,2,FALSE)</f>
        <v>maui</v>
      </c>
      <c r="D2025" s="4">
        <v>6464.66</v>
      </c>
      <c r="E2025" s="6">
        <v>2182</v>
      </c>
      <c r="F2025" s="3">
        <v>423</v>
      </c>
      <c r="G2025" s="3">
        <v>1753</v>
      </c>
    </row>
    <row r="2026" spans="1:7" x14ac:dyDescent="0.2">
      <c r="A2026" s="3">
        <v>1997</v>
      </c>
      <c r="B2026" s="3">
        <v>314</v>
      </c>
      <c r="C2026" s="3" t="str">
        <f>VLOOKUP(B2026, '[1]DAR area codes'!A:B,2,FALSE)</f>
        <v>maui</v>
      </c>
      <c r="D2026" s="4">
        <v>701</v>
      </c>
      <c r="E2026" s="6">
        <v>1874</v>
      </c>
      <c r="F2026" s="3">
        <v>1505</v>
      </c>
      <c r="G2026" s="3">
        <v>690</v>
      </c>
    </row>
    <row r="2027" spans="1:7" x14ac:dyDescent="0.2">
      <c r="A2027" s="3">
        <v>1997</v>
      </c>
      <c r="B2027" s="3">
        <v>320</v>
      </c>
      <c r="C2027" s="3" t="str">
        <f>VLOOKUP(B2027, '[1]DAR area codes'!A:B,2,FALSE)</f>
        <v>maui</v>
      </c>
      <c r="D2027" s="4">
        <v>25314.34</v>
      </c>
      <c r="E2027" s="6">
        <v>8315</v>
      </c>
      <c r="F2027" s="3">
        <v>6707</v>
      </c>
      <c r="G2027" s="3">
        <v>27258.5</v>
      </c>
    </row>
    <row r="2028" spans="1:7" x14ac:dyDescent="0.2">
      <c r="A2028" s="3">
        <v>1997</v>
      </c>
      <c r="B2028" s="3">
        <v>321</v>
      </c>
      <c r="C2028" s="3" t="str">
        <f>VLOOKUP(B2028, '[1]DAR area codes'!A:B,2,FALSE)</f>
        <v>maui</v>
      </c>
      <c r="D2028" s="4">
        <v>23818.51</v>
      </c>
      <c r="E2028" s="6">
        <v>7979.5</v>
      </c>
      <c r="F2028" s="3">
        <v>7500</v>
      </c>
      <c r="G2028" s="3">
        <v>28422</v>
      </c>
    </row>
    <row r="2029" spans="1:7" x14ac:dyDescent="0.2">
      <c r="A2029" s="3">
        <v>1997</v>
      </c>
      <c r="B2029" s="3">
        <v>322</v>
      </c>
      <c r="C2029" s="3" t="str">
        <f>VLOOKUP(B2029, '[1]DAR area codes'!A:B,2,FALSE)</f>
        <v>maui</v>
      </c>
      <c r="D2029" s="4">
        <v>2010</v>
      </c>
      <c r="E2029" s="6"/>
      <c r="F2029" s="3">
        <v>0</v>
      </c>
      <c r="G2029" s="3">
        <v>11225</v>
      </c>
    </row>
    <row r="2030" spans="1:7" x14ac:dyDescent="0.2">
      <c r="A2030" s="3">
        <v>1997</v>
      </c>
      <c r="B2030" s="3">
        <v>323</v>
      </c>
      <c r="C2030" s="3" t="str">
        <f>VLOOKUP(B2030, '[1]DAR area codes'!A:B,2,FALSE)</f>
        <v>maui</v>
      </c>
      <c r="D2030" s="4">
        <v>612</v>
      </c>
      <c r="E2030" s="6"/>
      <c r="F2030" s="3">
        <v>267</v>
      </c>
      <c r="G2030" s="3">
        <v>144789.33000000002</v>
      </c>
    </row>
    <row r="2031" spans="1:7" x14ac:dyDescent="0.2">
      <c r="A2031" s="3">
        <v>1997</v>
      </c>
      <c r="B2031" s="3">
        <v>324</v>
      </c>
      <c r="C2031" s="3" t="str">
        <f>VLOOKUP(B2031, '[1]DAR area codes'!A:B,2,FALSE)</f>
        <v>maui</v>
      </c>
      <c r="D2031" s="4">
        <v>2098</v>
      </c>
      <c r="E2031" s="6">
        <v>279</v>
      </c>
      <c r="F2031" s="3">
        <v>79</v>
      </c>
      <c r="G2031" s="3">
        <v>9292</v>
      </c>
    </row>
    <row r="2032" spans="1:7" x14ac:dyDescent="0.2">
      <c r="A2032" s="3">
        <v>1997</v>
      </c>
      <c r="B2032" s="3">
        <v>325</v>
      </c>
      <c r="C2032" s="3" t="str">
        <f>VLOOKUP(B2032, '[1]DAR area codes'!A:B,2,FALSE)</f>
        <v>maui</v>
      </c>
      <c r="D2032" s="4">
        <v>482</v>
      </c>
      <c r="E2032" s="6"/>
      <c r="F2032" s="3">
        <v>0</v>
      </c>
      <c r="G2032" s="3">
        <v>5797</v>
      </c>
    </row>
    <row r="2033" spans="1:7" x14ac:dyDescent="0.2">
      <c r="A2033" s="3">
        <v>1997</v>
      </c>
      <c r="B2033" s="3">
        <v>326</v>
      </c>
      <c r="C2033" s="3" t="str">
        <f>VLOOKUP(B2033, '[1]DAR area codes'!A:B,2,FALSE)</f>
        <v>maui</v>
      </c>
      <c r="D2033" s="4">
        <v>1637</v>
      </c>
      <c r="E2033" s="6"/>
      <c r="F2033" s="3">
        <v>0</v>
      </c>
      <c r="G2033" s="3">
        <v>3882</v>
      </c>
    </row>
    <row r="2034" spans="1:7" x14ac:dyDescent="0.2">
      <c r="A2034" s="3">
        <v>1997</v>
      </c>
      <c r="B2034" s="3">
        <v>327</v>
      </c>
      <c r="C2034" s="3" t="str">
        <f>VLOOKUP(B2034, '[1]DAR area codes'!A:B,2,FALSE)</f>
        <v>maui</v>
      </c>
      <c r="D2034" s="4">
        <v>17279.419999999998</v>
      </c>
      <c r="E2034" s="6">
        <v>1624.4</v>
      </c>
      <c r="F2034" s="3">
        <v>50</v>
      </c>
      <c r="G2034" s="3">
        <v>20669.2</v>
      </c>
    </row>
    <row r="2035" spans="1:7" x14ac:dyDescent="0.2">
      <c r="A2035" s="3">
        <v>1997</v>
      </c>
      <c r="B2035" s="3">
        <v>328</v>
      </c>
      <c r="C2035" s="3" t="str">
        <f>VLOOKUP(B2035, '[1]DAR area codes'!A:B,2,FALSE)</f>
        <v>maui</v>
      </c>
      <c r="D2035" s="4">
        <v>3118</v>
      </c>
      <c r="E2035" s="6">
        <v>342</v>
      </c>
      <c r="F2035" s="3">
        <v>140</v>
      </c>
      <c r="G2035" s="3">
        <v>72100</v>
      </c>
    </row>
    <row r="2036" spans="1:7" x14ac:dyDescent="0.2">
      <c r="A2036" s="3">
        <v>1997</v>
      </c>
      <c r="B2036" s="3">
        <v>331</v>
      </c>
      <c r="C2036" s="3" t="str">
        <f>VLOOKUP(B2036, '[1]DAR area codes'!A:B,2,FALSE)</f>
        <v>maui</v>
      </c>
      <c r="D2036" s="4">
        <v>50406.28</v>
      </c>
      <c r="E2036" s="6">
        <v>21997.5</v>
      </c>
      <c r="F2036" s="3">
        <v>1611</v>
      </c>
      <c r="G2036" s="3">
        <v>26962.5</v>
      </c>
    </row>
    <row r="2037" spans="1:7" x14ac:dyDescent="0.2">
      <c r="A2037" s="3">
        <v>1997</v>
      </c>
      <c r="B2037" s="3">
        <v>332</v>
      </c>
      <c r="C2037" s="3" t="str">
        <f>VLOOKUP(B2037, '[1]DAR area codes'!A:B,2,FALSE)</f>
        <v>maui</v>
      </c>
      <c r="D2037" s="4">
        <v>1441</v>
      </c>
      <c r="E2037" s="6"/>
      <c r="F2037" s="3">
        <v>0</v>
      </c>
      <c r="G2037" s="3">
        <v>81808</v>
      </c>
    </row>
    <row r="2038" spans="1:7" x14ac:dyDescent="0.2">
      <c r="A2038" s="3">
        <v>1997</v>
      </c>
      <c r="B2038" s="3">
        <v>333</v>
      </c>
      <c r="C2038" s="3" t="str">
        <f>VLOOKUP(B2038, '[1]DAR area codes'!A:B,2,FALSE)</f>
        <v>maui</v>
      </c>
      <c r="D2038" s="4">
        <v>1966</v>
      </c>
      <c r="E2038" s="6"/>
      <c r="F2038" s="3">
        <v>0</v>
      </c>
      <c r="G2038" s="3">
        <v>70956</v>
      </c>
    </row>
    <row r="2039" spans="1:7" x14ac:dyDescent="0.2">
      <c r="A2039" s="3">
        <v>1997</v>
      </c>
      <c r="B2039" s="3">
        <v>400</v>
      </c>
      <c r="C2039" s="3" t="str">
        <f>VLOOKUP(B2039, '[1]DAR area codes'!A:B,2,FALSE)</f>
        <v>oahu</v>
      </c>
      <c r="D2039" s="4">
        <v>122</v>
      </c>
      <c r="E2039" s="6">
        <v>316</v>
      </c>
      <c r="F2039" s="3">
        <v>25308</v>
      </c>
      <c r="G2039" s="3">
        <v>288</v>
      </c>
    </row>
    <row r="2040" spans="1:7" x14ac:dyDescent="0.2">
      <c r="A2040" s="3">
        <v>1997</v>
      </c>
      <c r="B2040" s="3">
        <v>401</v>
      </c>
      <c r="C2040" s="3" t="str">
        <f>VLOOKUP(B2040, '[1]DAR area codes'!A:B,2,FALSE)</f>
        <v>oahu</v>
      </c>
      <c r="D2040" s="4">
        <v>182</v>
      </c>
      <c r="E2040" s="6">
        <v>341</v>
      </c>
      <c r="F2040" s="3">
        <v>82821</v>
      </c>
      <c r="G2040" s="3">
        <v>2685</v>
      </c>
    </row>
    <row r="2041" spans="1:7" x14ac:dyDescent="0.2">
      <c r="A2041" s="3">
        <v>1997</v>
      </c>
      <c r="B2041" s="3">
        <v>402</v>
      </c>
      <c r="C2041" s="3" t="str">
        <f>VLOOKUP(B2041, '[1]DAR area codes'!A:B,2,FALSE)</f>
        <v>oahu</v>
      </c>
      <c r="D2041" s="4">
        <v>424</v>
      </c>
      <c r="E2041" s="6">
        <v>1089</v>
      </c>
      <c r="F2041" s="3">
        <v>34112</v>
      </c>
      <c r="G2041" s="3">
        <v>8012</v>
      </c>
    </row>
    <row r="2042" spans="1:7" x14ac:dyDescent="0.2">
      <c r="A2042" s="3">
        <v>1997</v>
      </c>
      <c r="B2042" s="3">
        <v>403</v>
      </c>
      <c r="C2042" s="3" t="str">
        <f>VLOOKUP(B2042, '[1]DAR area codes'!A:B,2,FALSE)</f>
        <v>oahu</v>
      </c>
      <c r="D2042" s="4">
        <v>653</v>
      </c>
      <c r="E2042" s="6">
        <v>2648</v>
      </c>
      <c r="F2042" s="3">
        <v>175297</v>
      </c>
      <c r="G2042" s="3">
        <v>14282</v>
      </c>
    </row>
    <row r="2043" spans="1:7" x14ac:dyDescent="0.2">
      <c r="A2043" s="3">
        <v>1997</v>
      </c>
      <c r="B2043" s="3">
        <v>404</v>
      </c>
      <c r="C2043" s="3" t="str">
        <f>VLOOKUP(B2043, '[1]DAR area codes'!A:B,2,FALSE)</f>
        <v>oahu</v>
      </c>
      <c r="D2043" s="4">
        <v>1199</v>
      </c>
      <c r="E2043" s="6">
        <v>2322</v>
      </c>
      <c r="F2043" s="3">
        <v>92431</v>
      </c>
      <c r="G2043" s="3">
        <v>2471</v>
      </c>
    </row>
    <row r="2044" spans="1:7" x14ac:dyDescent="0.2">
      <c r="A2044" s="3">
        <v>1997</v>
      </c>
      <c r="B2044" s="3">
        <v>405</v>
      </c>
      <c r="C2044" s="3" t="str">
        <f>VLOOKUP(B2044, '[1]DAR area codes'!A:B,2,FALSE)</f>
        <v>oahu</v>
      </c>
      <c r="D2044" s="4">
        <v>1520</v>
      </c>
      <c r="E2044" s="6">
        <v>1377</v>
      </c>
      <c r="F2044" s="3">
        <v>21707</v>
      </c>
      <c r="G2044" s="3">
        <v>2520</v>
      </c>
    </row>
    <row r="2045" spans="1:7" x14ac:dyDescent="0.2">
      <c r="A2045" s="3">
        <v>1997</v>
      </c>
      <c r="B2045" s="3">
        <v>406</v>
      </c>
      <c r="C2045" s="3" t="str">
        <f>VLOOKUP(B2045, '[1]DAR area codes'!A:B,2,FALSE)</f>
        <v>oahu</v>
      </c>
      <c r="E2045" s="6"/>
      <c r="F2045" s="3">
        <v>6209</v>
      </c>
      <c r="G2045" s="3">
        <v>0</v>
      </c>
    </row>
    <row r="2046" spans="1:7" x14ac:dyDescent="0.2">
      <c r="A2046" s="3">
        <v>1997</v>
      </c>
      <c r="B2046" s="3">
        <v>407</v>
      </c>
      <c r="C2046" s="3" t="str">
        <f>VLOOKUP(B2046, '[1]DAR area codes'!A:B,2,FALSE)</f>
        <v>oahu</v>
      </c>
      <c r="E2046" s="6">
        <v>1091</v>
      </c>
      <c r="F2046" s="3">
        <v>22880</v>
      </c>
      <c r="G2046" s="3">
        <v>754</v>
      </c>
    </row>
    <row r="2047" spans="1:7" x14ac:dyDescent="0.2">
      <c r="A2047" s="3">
        <v>1997</v>
      </c>
      <c r="B2047" s="3">
        <v>408</v>
      </c>
      <c r="C2047" s="3" t="str">
        <f>VLOOKUP(B2047, '[1]DAR area codes'!A:B,2,FALSE)</f>
        <v>oahu</v>
      </c>
      <c r="D2047" s="4">
        <v>705</v>
      </c>
      <c r="E2047" s="6">
        <v>276</v>
      </c>
      <c r="F2047" s="3">
        <v>22581</v>
      </c>
      <c r="G2047" s="3">
        <v>1316</v>
      </c>
    </row>
    <row r="2048" spans="1:7" x14ac:dyDescent="0.2">
      <c r="A2048" s="3">
        <v>1997</v>
      </c>
      <c r="B2048" s="3">
        <v>409</v>
      </c>
      <c r="C2048" s="3" t="str">
        <f>VLOOKUP(B2048, '[1]DAR area codes'!A:B,2,FALSE)</f>
        <v>oahu</v>
      </c>
      <c r="D2048" s="4">
        <v>1142</v>
      </c>
      <c r="E2048" s="6">
        <v>456</v>
      </c>
      <c r="F2048" s="3">
        <v>24919</v>
      </c>
      <c r="G2048" s="3">
        <v>1262</v>
      </c>
    </row>
    <row r="2049" spans="1:7" x14ac:dyDescent="0.2">
      <c r="A2049" s="3">
        <v>1997</v>
      </c>
      <c r="B2049" s="3">
        <v>420</v>
      </c>
      <c r="C2049" s="3" t="str">
        <f>VLOOKUP(B2049, '[1]DAR area codes'!A:B,2,FALSE)</f>
        <v>oahu</v>
      </c>
      <c r="D2049" s="4">
        <v>1748</v>
      </c>
      <c r="E2049" s="6"/>
      <c r="F2049" s="3">
        <v>3417</v>
      </c>
      <c r="G2049" s="3">
        <v>72219</v>
      </c>
    </row>
    <row r="2050" spans="1:7" x14ac:dyDescent="0.2">
      <c r="A2050" s="3">
        <v>1997</v>
      </c>
      <c r="B2050" s="3">
        <v>421</v>
      </c>
      <c r="C2050" s="3" t="str">
        <f>VLOOKUP(B2050, '[1]DAR area codes'!A:B,2,FALSE)</f>
        <v>oahu</v>
      </c>
      <c r="D2050" s="4">
        <v>1484</v>
      </c>
      <c r="E2050" s="6"/>
      <c r="F2050" s="3">
        <v>234</v>
      </c>
      <c r="G2050" s="3">
        <v>199476.58</v>
      </c>
    </row>
    <row r="2051" spans="1:7" x14ac:dyDescent="0.2">
      <c r="A2051" s="3">
        <v>1997</v>
      </c>
      <c r="B2051" s="3">
        <v>422</v>
      </c>
      <c r="C2051" s="3" t="str">
        <f>VLOOKUP(B2051, '[1]DAR area codes'!A:B,2,FALSE)</f>
        <v>oahu</v>
      </c>
      <c r="D2051" s="4">
        <v>731</v>
      </c>
      <c r="E2051" s="6">
        <v>143</v>
      </c>
      <c r="F2051" s="3">
        <v>30</v>
      </c>
      <c r="G2051" s="3">
        <v>184787</v>
      </c>
    </row>
    <row r="2052" spans="1:7" x14ac:dyDescent="0.2">
      <c r="A2052" s="3">
        <v>1997</v>
      </c>
      <c r="B2052" s="3">
        <v>423</v>
      </c>
      <c r="C2052" s="3" t="str">
        <f>VLOOKUP(B2052, '[1]DAR area codes'!A:B,2,FALSE)</f>
        <v>oahu</v>
      </c>
      <c r="D2052" s="4">
        <v>1846</v>
      </c>
      <c r="E2052" s="6">
        <v>2059</v>
      </c>
      <c r="F2052" s="3">
        <v>9320</v>
      </c>
      <c r="G2052" s="3">
        <v>496450</v>
      </c>
    </row>
    <row r="2053" spans="1:7" x14ac:dyDescent="0.2">
      <c r="A2053" s="3">
        <v>1997</v>
      </c>
      <c r="B2053" s="3">
        <v>424</v>
      </c>
      <c r="C2053" s="3" t="str">
        <f>VLOOKUP(B2053, '[1]DAR area codes'!A:B,2,FALSE)</f>
        <v>oahu</v>
      </c>
      <c r="D2053" s="4">
        <v>2614</v>
      </c>
      <c r="E2053" s="6">
        <v>786</v>
      </c>
      <c r="F2053" s="3">
        <v>2864</v>
      </c>
      <c r="G2053" s="3">
        <v>120424</v>
      </c>
    </row>
    <row r="2054" spans="1:7" x14ac:dyDescent="0.2">
      <c r="A2054" s="3">
        <v>1997</v>
      </c>
      <c r="B2054" s="3">
        <v>425</v>
      </c>
      <c r="C2054" s="3" t="str">
        <f>VLOOKUP(B2054, '[1]DAR area codes'!A:B,2,FALSE)</f>
        <v>oahu</v>
      </c>
      <c r="D2054" s="4">
        <v>2112</v>
      </c>
      <c r="E2054" s="6">
        <v>501</v>
      </c>
      <c r="F2054" s="3">
        <v>0</v>
      </c>
      <c r="G2054" s="3">
        <v>269392</v>
      </c>
    </row>
    <row r="2055" spans="1:7" x14ac:dyDescent="0.2">
      <c r="A2055" s="3">
        <v>1997</v>
      </c>
      <c r="B2055" s="3">
        <v>426</v>
      </c>
      <c r="C2055" s="3" t="str">
        <f>VLOOKUP(B2055, '[1]DAR area codes'!A:B,2,FALSE)</f>
        <v>oahu</v>
      </c>
      <c r="E2055" s="6"/>
      <c r="F2055" s="3">
        <v>0</v>
      </c>
      <c r="G2055" s="3">
        <v>248153</v>
      </c>
    </row>
    <row r="2056" spans="1:7" x14ac:dyDescent="0.2">
      <c r="A2056" s="3">
        <v>1997</v>
      </c>
      <c r="B2056" s="3">
        <v>427</v>
      </c>
      <c r="C2056" s="3" t="str">
        <f>VLOOKUP(B2056, '[1]DAR area codes'!A:B,2,FALSE)</f>
        <v>oahu</v>
      </c>
      <c r="D2056" s="4">
        <v>729</v>
      </c>
      <c r="E2056" s="6">
        <v>144</v>
      </c>
      <c r="F2056" s="3">
        <v>0</v>
      </c>
      <c r="G2056" s="3">
        <v>320463</v>
      </c>
    </row>
    <row r="2057" spans="1:7" x14ac:dyDescent="0.2">
      <c r="A2057" s="3">
        <v>1997</v>
      </c>
      <c r="B2057" s="3">
        <v>428</v>
      </c>
      <c r="C2057" s="3" t="str">
        <f>VLOOKUP(B2057, '[1]DAR area codes'!A:B,2,FALSE)</f>
        <v>oahu</v>
      </c>
      <c r="D2057" s="4">
        <v>5695</v>
      </c>
      <c r="E2057" s="6"/>
      <c r="F2057" s="3">
        <v>0</v>
      </c>
      <c r="G2057" s="3">
        <v>47341</v>
      </c>
    </row>
    <row r="2058" spans="1:7" x14ac:dyDescent="0.2">
      <c r="A2058" s="3">
        <v>1997</v>
      </c>
      <c r="B2058" s="3">
        <v>429</v>
      </c>
      <c r="C2058" s="3" t="str">
        <f>VLOOKUP(B2058, '[1]DAR area codes'!A:B,2,FALSE)</f>
        <v>oahu</v>
      </c>
      <c r="D2058" s="4">
        <v>4934</v>
      </c>
      <c r="E2058" s="6">
        <v>900</v>
      </c>
      <c r="F2058" s="3">
        <v>114</v>
      </c>
      <c r="G2058" s="3">
        <v>30675</v>
      </c>
    </row>
    <row r="2059" spans="1:7" x14ac:dyDescent="0.2">
      <c r="A2059" s="3">
        <v>1997</v>
      </c>
      <c r="B2059" s="3">
        <v>500</v>
      </c>
      <c r="C2059" s="3" t="str">
        <f>VLOOKUP(B2059, '[1]DAR area codes'!A:B,2,FALSE)</f>
        <v>kauai</v>
      </c>
      <c r="D2059" s="4">
        <v>712</v>
      </c>
      <c r="E2059" s="6">
        <v>7666</v>
      </c>
      <c r="F2059" s="3">
        <v>153481</v>
      </c>
      <c r="G2059" s="3">
        <v>17561.669999999998</v>
      </c>
    </row>
    <row r="2060" spans="1:7" x14ac:dyDescent="0.2">
      <c r="A2060" s="3">
        <v>1997</v>
      </c>
      <c r="B2060" s="3">
        <v>501</v>
      </c>
      <c r="C2060" s="3" t="str">
        <f>VLOOKUP(B2060, '[1]DAR area codes'!A:B,2,FALSE)</f>
        <v>kauai</v>
      </c>
      <c r="D2060" s="4">
        <v>693</v>
      </c>
      <c r="E2060" s="6">
        <v>1413</v>
      </c>
      <c r="F2060" s="3">
        <v>15732</v>
      </c>
      <c r="G2060" s="3">
        <v>3908</v>
      </c>
    </row>
    <row r="2061" spans="1:7" x14ac:dyDescent="0.2">
      <c r="A2061" s="3">
        <v>1997</v>
      </c>
      <c r="B2061" s="3">
        <v>502</v>
      </c>
      <c r="C2061" s="3" t="str">
        <f>VLOOKUP(B2061, '[1]DAR area codes'!A:B,2,FALSE)</f>
        <v>kauai</v>
      </c>
      <c r="E2061" s="6">
        <v>370</v>
      </c>
      <c r="F2061" s="3">
        <v>0</v>
      </c>
      <c r="G2061" s="3">
        <v>4254</v>
      </c>
    </row>
    <row r="2062" spans="1:7" x14ac:dyDescent="0.2">
      <c r="A2062" s="3">
        <v>1997</v>
      </c>
      <c r="B2062" s="3">
        <v>503</v>
      </c>
      <c r="C2062" s="3" t="str">
        <f>VLOOKUP(B2062, '[1]DAR area codes'!A:B,2,FALSE)</f>
        <v>kauai</v>
      </c>
      <c r="D2062" s="4">
        <v>994</v>
      </c>
      <c r="E2062" s="6">
        <v>1278</v>
      </c>
      <c r="F2062" s="3">
        <v>1080</v>
      </c>
      <c r="G2062" s="3">
        <v>18627</v>
      </c>
    </row>
    <row r="2063" spans="1:7" x14ac:dyDescent="0.2">
      <c r="A2063" s="3">
        <v>1997</v>
      </c>
      <c r="B2063" s="3">
        <v>504</v>
      </c>
      <c r="C2063" s="3" t="str">
        <f>VLOOKUP(B2063, '[1]DAR area codes'!A:B,2,FALSE)</f>
        <v>kauai</v>
      </c>
      <c r="D2063" s="4">
        <v>1015</v>
      </c>
      <c r="E2063" s="6">
        <v>2477</v>
      </c>
      <c r="F2063" s="3">
        <v>42574</v>
      </c>
      <c r="G2063" s="3">
        <v>18462</v>
      </c>
    </row>
    <row r="2064" spans="1:7" x14ac:dyDescent="0.2">
      <c r="A2064" s="3">
        <v>1997</v>
      </c>
      <c r="B2064" s="3">
        <v>505</v>
      </c>
      <c r="C2064" s="3" t="str">
        <f>VLOOKUP(B2064, '[1]DAR area codes'!A:B,2,FALSE)</f>
        <v>kauai</v>
      </c>
      <c r="D2064" s="4">
        <v>2661.2</v>
      </c>
      <c r="E2064" s="6">
        <v>6186.9</v>
      </c>
      <c r="F2064" s="3">
        <v>9304</v>
      </c>
      <c r="G2064" s="3">
        <v>7038.5</v>
      </c>
    </row>
    <row r="2065" spans="1:7" x14ac:dyDescent="0.2">
      <c r="A2065" s="3">
        <v>1997</v>
      </c>
      <c r="B2065" s="3">
        <v>506</v>
      </c>
      <c r="C2065" s="3" t="str">
        <f>VLOOKUP(B2065, '[1]DAR area codes'!A:B,2,FALSE)</f>
        <v>kauai</v>
      </c>
      <c r="D2065" s="4">
        <v>2604.5</v>
      </c>
      <c r="E2065" s="6">
        <v>5837</v>
      </c>
      <c r="F2065" s="3">
        <v>20369</v>
      </c>
      <c r="G2065" s="3">
        <v>6569</v>
      </c>
    </row>
    <row r="2066" spans="1:7" x14ac:dyDescent="0.2">
      <c r="A2066" s="3">
        <v>1997</v>
      </c>
      <c r="B2066" s="3">
        <v>507</v>
      </c>
      <c r="C2066" s="3" t="str">
        <f>VLOOKUP(B2066, '[1]DAR area codes'!A:B,2,FALSE)</f>
        <v>kauai</v>
      </c>
      <c r="E2066" s="6"/>
      <c r="F2066" s="3">
        <v>0</v>
      </c>
      <c r="G2066" s="3">
        <v>0</v>
      </c>
    </row>
    <row r="2067" spans="1:7" x14ac:dyDescent="0.2">
      <c r="A2067" s="3">
        <v>1997</v>
      </c>
      <c r="B2067" s="3">
        <v>508</v>
      </c>
      <c r="C2067" s="3" t="str">
        <f>VLOOKUP(B2067, '[1]DAR area codes'!A:B,2,FALSE)</f>
        <v>kauai</v>
      </c>
      <c r="D2067" s="4">
        <v>2993.03</v>
      </c>
      <c r="E2067" s="6">
        <v>2410.8000000000002</v>
      </c>
      <c r="F2067" s="3">
        <v>5006.2</v>
      </c>
      <c r="G2067" s="3">
        <v>32058.25</v>
      </c>
    </row>
    <row r="2068" spans="1:7" x14ac:dyDescent="0.2">
      <c r="A2068" s="3">
        <v>1997</v>
      </c>
      <c r="B2068" s="3">
        <v>520</v>
      </c>
      <c r="C2068" s="3" t="str">
        <f>VLOOKUP(B2068, '[1]DAR area codes'!A:B,2,FALSE)</f>
        <v>kauai</v>
      </c>
      <c r="D2068" s="4">
        <v>728</v>
      </c>
      <c r="E2068" s="6">
        <v>2341</v>
      </c>
      <c r="F2068" s="3">
        <v>8245</v>
      </c>
      <c r="G2068" s="3">
        <v>404309.18</v>
      </c>
    </row>
    <row r="2069" spans="1:7" x14ac:dyDescent="0.2">
      <c r="A2069" s="3">
        <v>1997</v>
      </c>
      <c r="B2069" s="3">
        <v>521</v>
      </c>
      <c r="C2069" s="3" t="str">
        <f>VLOOKUP(B2069, '[1]DAR area codes'!A:B,2,FALSE)</f>
        <v>kauai</v>
      </c>
      <c r="D2069" s="4">
        <v>705</v>
      </c>
      <c r="E2069" s="6">
        <v>772</v>
      </c>
      <c r="F2069" s="3">
        <v>3734</v>
      </c>
      <c r="G2069" s="3">
        <v>14720</v>
      </c>
    </row>
    <row r="2070" spans="1:7" x14ac:dyDescent="0.2">
      <c r="A2070" s="3">
        <v>1997</v>
      </c>
      <c r="B2070" s="3">
        <v>522</v>
      </c>
      <c r="C2070" s="3" t="str">
        <f>VLOOKUP(B2070, '[1]DAR area codes'!A:B,2,FALSE)</f>
        <v>kauai</v>
      </c>
      <c r="E2070" s="6"/>
      <c r="F2070" s="3">
        <v>0</v>
      </c>
      <c r="G2070" s="3">
        <v>10034</v>
      </c>
    </row>
    <row r="2071" spans="1:7" x14ac:dyDescent="0.2">
      <c r="A2071" s="3">
        <v>1997</v>
      </c>
      <c r="B2071" s="3">
        <v>523</v>
      </c>
      <c r="C2071" s="3" t="str">
        <f>VLOOKUP(B2071, '[1]DAR area codes'!A:B,2,FALSE)</f>
        <v>kauai</v>
      </c>
      <c r="D2071" s="4">
        <v>296</v>
      </c>
      <c r="E2071" s="6"/>
      <c r="F2071" s="3">
        <v>0</v>
      </c>
      <c r="G2071" s="3">
        <v>74972.51999999999</v>
      </c>
    </row>
    <row r="2072" spans="1:7" x14ac:dyDescent="0.2">
      <c r="A2072" s="3">
        <v>1997</v>
      </c>
      <c r="B2072" s="3">
        <v>524</v>
      </c>
      <c r="C2072" s="3" t="str">
        <f>VLOOKUP(B2072, '[1]DAR area codes'!A:B,2,FALSE)</f>
        <v>kauai</v>
      </c>
      <c r="D2072" s="4">
        <v>3479</v>
      </c>
      <c r="E2072" s="6">
        <v>2619</v>
      </c>
      <c r="F2072" s="3">
        <v>2042</v>
      </c>
      <c r="G2072" s="3">
        <v>227514.61</v>
      </c>
    </row>
    <row r="2073" spans="1:7" x14ac:dyDescent="0.2">
      <c r="A2073" s="3">
        <v>1997</v>
      </c>
      <c r="B2073" s="3">
        <v>525</v>
      </c>
      <c r="C2073" s="3" t="str">
        <f>VLOOKUP(B2073, '[1]DAR area codes'!A:B,2,FALSE)</f>
        <v>kauai</v>
      </c>
      <c r="D2073" s="4">
        <v>8375.7900000000009</v>
      </c>
      <c r="E2073" s="6">
        <v>1893</v>
      </c>
      <c r="F2073" s="3">
        <v>0</v>
      </c>
      <c r="G2073" s="3">
        <v>4148</v>
      </c>
    </row>
    <row r="2074" spans="1:7" x14ac:dyDescent="0.2">
      <c r="A2074" s="3">
        <v>1997</v>
      </c>
      <c r="B2074" s="3">
        <v>526</v>
      </c>
      <c r="C2074" s="3" t="str">
        <f>VLOOKUP(B2074, '[1]DAR area codes'!A:B,2,FALSE)</f>
        <v>kauai</v>
      </c>
      <c r="D2074" s="4">
        <v>418.41</v>
      </c>
      <c r="E2074" s="6"/>
      <c r="F2074" s="3">
        <v>0</v>
      </c>
      <c r="G2074" s="3">
        <v>1149</v>
      </c>
    </row>
    <row r="2075" spans="1:7" x14ac:dyDescent="0.2">
      <c r="A2075" s="3">
        <v>1997</v>
      </c>
      <c r="B2075" s="3">
        <v>527</v>
      </c>
      <c r="C2075" s="3" t="str">
        <f>VLOOKUP(B2075, '[1]DAR area codes'!A:B,2,FALSE)</f>
        <v>kauai</v>
      </c>
      <c r="D2075" s="4">
        <v>211.4</v>
      </c>
      <c r="E2075" s="6"/>
      <c r="F2075" s="3">
        <v>0</v>
      </c>
      <c r="G2075" s="3">
        <v>231.5</v>
      </c>
    </row>
    <row r="2076" spans="1:7" x14ac:dyDescent="0.2">
      <c r="A2076" s="3">
        <v>1997</v>
      </c>
      <c r="B2076" s="3">
        <v>528</v>
      </c>
      <c r="C2076" s="3" t="str">
        <f>VLOOKUP(B2076, '[1]DAR area codes'!A:B,2,FALSE)</f>
        <v>kauai</v>
      </c>
      <c r="D2076" s="4">
        <v>520.78</v>
      </c>
      <c r="E2076" s="6"/>
      <c r="F2076" s="3">
        <v>0</v>
      </c>
      <c r="G2076" s="3">
        <v>13258.7</v>
      </c>
    </row>
    <row r="2077" spans="1:7" x14ac:dyDescent="0.2">
      <c r="E2077" s="6"/>
    </row>
    <row r="2078" spans="1:7" x14ac:dyDescent="0.2">
      <c r="E207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19945-1D5A-104C-9AC4-7A8497C47E3D}">
  <dimension ref="A1:G109"/>
  <sheetViews>
    <sheetView workbookViewId="0">
      <selection activeCell="I18" sqref="I18"/>
    </sheetView>
  </sheetViews>
  <sheetFormatPr baseColWidth="10" defaultRowHeight="16" x14ac:dyDescent="0.2"/>
  <cols>
    <col min="3" max="3" width="12.1640625" bestFit="1" customWidth="1"/>
    <col min="4" max="4" width="13.1640625" bestFit="1" customWidth="1"/>
    <col min="5" max="6" width="13.1640625" customWidth="1"/>
  </cols>
  <sheetData>
    <row r="1" spans="1:7" x14ac:dyDescent="0.2">
      <c r="A1" s="7" t="s">
        <v>0</v>
      </c>
      <c r="B1" s="7" t="s">
        <v>7</v>
      </c>
      <c r="C1" s="7" t="s">
        <v>8</v>
      </c>
      <c r="D1" s="7" t="s">
        <v>9</v>
      </c>
      <c r="E1" s="7" t="s">
        <v>27</v>
      </c>
      <c r="F1" s="7" t="s">
        <v>10</v>
      </c>
      <c r="G1" s="7" t="s">
        <v>11</v>
      </c>
    </row>
    <row r="2" spans="1:7" x14ac:dyDescent="0.2">
      <c r="A2">
        <v>2005</v>
      </c>
      <c r="B2" t="s">
        <v>12</v>
      </c>
      <c r="C2">
        <v>0.3267351614898743</v>
      </c>
      <c r="D2" s="8">
        <f>'[2]Total lbs'!B2*C2</f>
        <v>55427.708088403015</v>
      </c>
      <c r="E2" s="8">
        <v>55427.708088403015</v>
      </c>
      <c r="F2" s="8">
        <f>E2/2.205</f>
        <v>25137.282579774608</v>
      </c>
      <c r="G2" s="9">
        <v>3.4</v>
      </c>
    </row>
    <row r="3" spans="1:7" x14ac:dyDescent="0.2">
      <c r="A3">
        <v>2005</v>
      </c>
      <c r="B3" t="s">
        <v>13</v>
      </c>
      <c r="C3">
        <v>7.9741730155629353E-2</v>
      </c>
      <c r="D3" s="8">
        <f>'[2]Total lbs'!B2*C3</f>
        <v>13527.473815111272</v>
      </c>
      <c r="E3" s="8">
        <v>13527.473815111272</v>
      </c>
      <c r="F3" s="8">
        <f t="shared" ref="F3:F66" si="0">E3/2.205</f>
        <v>6134.9087596876516</v>
      </c>
      <c r="G3" s="9">
        <v>3.4</v>
      </c>
    </row>
    <row r="4" spans="1:7" x14ac:dyDescent="0.2">
      <c r="A4">
        <v>2005</v>
      </c>
      <c r="B4" t="s">
        <v>14</v>
      </c>
      <c r="C4">
        <v>9.2211613596405555E-3</v>
      </c>
      <c r="D4" s="8">
        <f>'[2]Total lbs'!B2*C4</f>
        <v>1564.2878401810992</v>
      </c>
      <c r="E4" s="8">
        <v>1564.2878401810992</v>
      </c>
      <c r="F4" s="8">
        <f t="shared" si="0"/>
        <v>709.4275919188658</v>
      </c>
      <c r="G4" s="9">
        <v>3.4</v>
      </c>
    </row>
    <row r="5" spans="1:7" x14ac:dyDescent="0.2">
      <c r="A5">
        <v>2005</v>
      </c>
      <c r="B5" t="s">
        <v>15</v>
      </c>
      <c r="C5">
        <v>0.14533885198932084</v>
      </c>
      <c r="D5" s="8">
        <f>'[2]Total lbs'!B2*C5</f>
        <v>24655.440893579311</v>
      </c>
      <c r="E5" s="8">
        <v>24655.440893579311</v>
      </c>
      <c r="F5" s="8">
        <f t="shared" si="0"/>
        <v>11181.605847428258</v>
      </c>
      <c r="G5" s="9">
        <v>3.4</v>
      </c>
    </row>
    <row r="6" spans="1:7" x14ac:dyDescent="0.2">
      <c r="A6">
        <v>2005</v>
      </c>
      <c r="B6" t="s">
        <v>16</v>
      </c>
      <c r="C6">
        <v>7.9009165201536752E-2</v>
      </c>
      <c r="D6" s="8">
        <f>'[2]Total lbs'!B2*C6</f>
        <v>13403.20069970463</v>
      </c>
      <c r="E6" s="8">
        <v>13403.20069970463</v>
      </c>
      <c r="F6" s="8">
        <f t="shared" si="0"/>
        <v>6078.5490701608296</v>
      </c>
      <c r="G6" s="9">
        <v>3.4</v>
      </c>
    </row>
    <row r="7" spans="1:7" x14ac:dyDescent="0.2">
      <c r="A7">
        <v>2005</v>
      </c>
      <c r="B7" t="s">
        <v>17</v>
      </c>
      <c r="C7">
        <v>0.35995392980399815</v>
      </c>
      <c r="D7" s="8">
        <f>'[2]Total lbs'!B2*C7</f>
        <v>61062.976067446674</v>
      </c>
      <c r="E7" s="8">
        <v>61062.976067446674</v>
      </c>
      <c r="F7" s="8">
        <f t="shared" si="0"/>
        <v>27692.959667776267</v>
      </c>
      <c r="G7" s="9">
        <v>3.4</v>
      </c>
    </row>
    <row r="8" spans="1:7" x14ac:dyDescent="0.2">
      <c r="A8">
        <v>2006</v>
      </c>
      <c r="B8" t="s">
        <v>12</v>
      </c>
      <c r="C8">
        <v>0.3267351614898743</v>
      </c>
      <c r="D8" s="8">
        <f>'[2]Total lbs'!B3*C8</f>
        <v>92568.797551791286</v>
      </c>
      <c r="E8" s="8">
        <v>92568.797551791286</v>
      </c>
      <c r="F8" s="8">
        <f t="shared" si="0"/>
        <v>41981.314082445024</v>
      </c>
      <c r="G8" s="9">
        <v>3.4</v>
      </c>
    </row>
    <row r="9" spans="1:7" x14ac:dyDescent="0.2">
      <c r="A9">
        <v>2006</v>
      </c>
      <c r="B9" t="s">
        <v>13</v>
      </c>
      <c r="C9">
        <v>7.9741730155629353E-2</v>
      </c>
      <c r="D9" s="8">
        <f>'[2]Total lbs'!B3*C9</f>
        <v>22591.985636154997</v>
      </c>
      <c r="E9" s="8">
        <v>22591.985636154997</v>
      </c>
      <c r="F9" s="8">
        <f t="shared" si="0"/>
        <v>10245.79847444671</v>
      </c>
      <c r="G9" s="9">
        <v>3.4</v>
      </c>
    </row>
    <row r="10" spans="1:7" x14ac:dyDescent="0.2">
      <c r="A10">
        <v>2006</v>
      </c>
      <c r="B10" t="s">
        <v>14</v>
      </c>
      <c r="C10">
        <v>9.2211613596405555E-3</v>
      </c>
      <c r="D10" s="8">
        <f>'[2]Total lbs'!B3*C10</f>
        <v>2612.488399475244</v>
      </c>
      <c r="E10" s="8">
        <v>2612.488399475244</v>
      </c>
      <c r="F10" s="8">
        <f t="shared" si="0"/>
        <v>1184.801995226868</v>
      </c>
      <c r="G10" s="9">
        <v>3.4</v>
      </c>
    </row>
    <row r="11" spans="1:7" x14ac:dyDescent="0.2">
      <c r="A11">
        <v>2006</v>
      </c>
      <c r="B11" t="s">
        <v>15</v>
      </c>
      <c r="C11">
        <v>0.14533885198932084</v>
      </c>
      <c r="D11" s="8">
        <f>'[2]Total lbs'!B3*C11</f>
        <v>41176.599129586306</v>
      </c>
      <c r="E11" s="8">
        <v>41176.599129586306</v>
      </c>
      <c r="F11" s="8">
        <f t="shared" si="0"/>
        <v>18674.194616592427</v>
      </c>
      <c r="G11" s="9">
        <v>3.4</v>
      </c>
    </row>
    <row r="12" spans="1:7" x14ac:dyDescent="0.2">
      <c r="A12">
        <v>2006</v>
      </c>
      <c r="B12" t="s">
        <v>16</v>
      </c>
      <c r="C12">
        <v>7.9009165201536752E-2</v>
      </c>
      <c r="D12" s="8">
        <f>'[2]Total lbs'!B3*C12</f>
        <v>22384.439387934519</v>
      </c>
      <c r="E12" s="8">
        <v>22384.439387934519</v>
      </c>
      <c r="F12" s="8">
        <f t="shared" si="0"/>
        <v>10151.673191807038</v>
      </c>
      <c r="G12" s="9">
        <v>3.4</v>
      </c>
    </row>
    <row r="13" spans="1:7" x14ac:dyDescent="0.2">
      <c r="A13">
        <v>2006</v>
      </c>
      <c r="B13" t="s">
        <v>17</v>
      </c>
      <c r="C13">
        <v>0.35995392980399815</v>
      </c>
      <c r="D13" s="8">
        <f>'[2]Total lbs'!B3*C13</f>
        <v>101980.15513255562</v>
      </c>
      <c r="E13" s="8">
        <v>101980.15513255562</v>
      </c>
      <c r="F13" s="8">
        <f t="shared" si="0"/>
        <v>46249.503461476474</v>
      </c>
      <c r="G13" s="9">
        <v>3.4</v>
      </c>
    </row>
    <row r="14" spans="1:7" x14ac:dyDescent="0.2">
      <c r="A14">
        <v>2007</v>
      </c>
      <c r="B14" t="s">
        <v>12</v>
      </c>
      <c r="C14">
        <v>0.3267351614898743</v>
      </c>
      <c r="D14" s="8">
        <f>'[2]Total lbs'!B4*C14</f>
        <v>78890.550106219656</v>
      </c>
      <c r="E14" s="8">
        <v>78890.550106219656</v>
      </c>
      <c r="F14" s="8">
        <f t="shared" si="0"/>
        <v>35778.027259056529</v>
      </c>
      <c r="G14" s="9">
        <v>3.4</v>
      </c>
    </row>
    <row r="15" spans="1:7" x14ac:dyDescent="0.2">
      <c r="A15">
        <v>2007</v>
      </c>
      <c r="B15" t="s">
        <v>13</v>
      </c>
      <c r="C15">
        <v>7.9741730155629353E-2</v>
      </c>
      <c r="D15" s="8">
        <f>'[2]Total lbs'!B4*C15</f>
        <v>19253.725034409195</v>
      </c>
      <c r="E15" s="8">
        <v>19253.725034409195</v>
      </c>
      <c r="F15" s="8">
        <f t="shared" si="0"/>
        <v>8731.848088167435</v>
      </c>
      <c r="G15" s="9">
        <v>3.4</v>
      </c>
    </row>
    <row r="16" spans="1:7" x14ac:dyDescent="0.2">
      <c r="A16">
        <v>2007</v>
      </c>
      <c r="B16" t="s">
        <v>14</v>
      </c>
      <c r="C16">
        <v>9.2211613596405555E-3</v>
      </c>
      <c r="D16" s="8">
        <f>'[2]Total lbs'!B4*C16</f>
        <v>2226.4591572058407</v>
      </c>
      <c r="E16" s="8">
        <v>2226.4591572058407</v>
      </c>
      <c r="F16" s="8">
        <f t="shared" si="0"/>
        <v>1009.7320440842815</v>
      </c>
      <c r="G16" s="9">
        <v>3.4</v>
      </c>
    </row>
    <row r="17" spans="1:7" x14ac:dyDescent="0.2">
      <c r="A17">
        <v>2007</v>
      </c>
      <c r="B17" t="s">
        <v>15</v>
      </c>
      <c r="C17">
        <v>0.14533885198932084</v>
      </c>
      <c r="D17" s="8">
        <f>'[2]Total lbs'!B4*C17</f>
        <v>35092.219438400694</v>
      </c>
      <c r="E17" s="8">
        <v>35092.219438400694</v>
      </c>
      <c r="F17" s="8">
        <f t="shared" si="0"/>
        <v>15914.838747574011</v>
      </c>
      <c r="G17" s="9">
        <v>3.4</v>
      </c>
    </row>
    <row r="18" spans="1:7" x14ac:dyDescent="0.2">
      <c r="A18">
        <v>2007</v>
      </c>
      <c r="B18" t="s">
        <v>16</v>
      </c>
      <c r="C18">
        <v>7.9009165201536752E-2</v>
      </c>
      <c r="D18" s="8">
        <f>'[2]Total lbs'!B4*C18</f>
        <v>19076.84645191022</v>
      </c>
      <c r="E18" s="8">
        <v>19076.84645191022</v>
      </c>
      <c r="F18" s="8">
        <f t="shared" si="0"/>
        <v>8651.6310439502122</v>
      </c>
      <c r="G18" s="9">
        <v>3.4</v>
      </c>
    </row>
    <row r="19" spans="1:7" x14ac:dyDescent="0.2">
      <c r="A19">
        <v>2007</v>
      </c>
      <c r="B19" t="s">
        <v>17</v>
      </c>
      <c r="C19">
        <v>0.35995392980399815</v>
      </c>
      <c r="D19" s="8">
        <f>'[2]Total lbs'!B4*C19</f>
        <v>86911.256828454396</v>
      </c>
      <c r="E19" s="8">
        <v>86911.256828454396</v>
      </c>
      <c r="F19" s="8">
        <f t="shared" si="0"/>
        <v>39415.535976623309</v>
      </c>
      <c r="G19" s="9">
        <v>3.4</v>
      </c>
    </row>
    <row r="20" spans="1:7" x14ac:dyDescent="0.2">
      <c r="A20">
        <v>2008</v>
      </c>
      <c r="B20" t="s">
        <v>12</v>
      </c>
      <c r="C20">
        <v>0.3267351614898743</v>
      </c>
      <c r="D20" s="8">
        <f>'[2]Total lbs'!B5*C20</f>
        <v>73599.019790406324</v>
      </c>
      <c r="E20" s="8">
        <v>73599.019790406324</v>
      </c>
      <c r="F20" s="8">
        <f t="shared" si="0"/>
        <v>33378.240267757967</v>
      </c>
      <c r="G20" s="9">
        <v>3.4</v>
      </c>
    </row>
    <row r="21" spans="1:7" x14ac:dyDescent="0.2">
      <c r="A21">
        <v>2008</v>
      </c>
      <c r="B21" t="s">
        <v>13</v>
      </c>
      <c r="C21">
        <v>7.9741730155629353E-2</v>
      </c>
      <c r="D21" s="8">
        <f>'[2]Total lbs'!B5*C21</f>
        <v>17962.294443866536</v>
      </c>
      <c r="E21" s="8">
        <v>17962.294443866536</v>
      </c>
      <c r="F21" s="8">
        <f t="shared" si="0"/>
        <v>8146.1652806650955</v>
      </c>
      <c r="G21" s="9">
        <v>3.4</v>
      </c>
    </row>
    <row r="22" spans="1:7" x14ac:dyDescent="0.2">
      <c r="A22">
        <v>2008</v>
      </c>
      <c r="B22" t="s">
        <v>14</v>
      </c>
      <c r="C22">
        <v>9.2211613596405555E-3</v>
      </c>
      <c r="D22" s="8">
        <f>'[2]Total lbs'!B5*C22</f>
        <v>2077.1209143946007</v>
      </c>
      <c r="E22" s="8">
        <v>2077.1209143946007</v>
      </c>
      <c r="F22" s="8">
        <f t="shared" si="0"/>
        <v>942.00494983882118</v>
      </c>
      <c r="G22" s="9">
        <v>3.4</v>
      </c>
    </row>
    <row r="23" spans="1:7" x14ac:dyDescent="0.2">
      <c r="A23">
        <v>2008</v>
      </c>
      <c r="B23" t="s">
        <v>15</v>
      </c>
      <c r="C23">
        <v>0.14533885198932084</v>
      </c>
      <c r="D23" s="8">
        <f>'[2]Total lbs'!B5*C23</f>
        <v>32738.432543044371</v>
      </c>
      <c r="E23" s="8">
        <v>32738.432543044371</v>
      </c>
      <c r="F23" s="8">
        <f t="shared" si="0"/>
        <v>14847.361697525792</v>
      </c>
      <c r="G23" s="9">
        <v>3.4</v>
      </c>
    </row>
    <row r="24" spans="1:7" x14ac:dyDescent="0.2">
      <c r="A24">
        <v>2008</v>
      </c>
      <c r="B24" t="s">
        <v>16</v>
      </c>
      <c r="C24">
        <v>7.9009165201536752E-2</v>
      </c>
      <c r="D24" s="8">
        <f>'[2]Total lbs'!B5*C24</f>
        <v>17797.279872713043</v>
      </c>
      <c r="E24" s="8">
        <v>17797.279872713043</v>
      </c>
      <c r="F24" s="8">
        <f t="shared" si="0"/>
        <v>8071.3287404594294</v>
      </c>
      <c r="G24" s="9">
        <v>3.4</v>
      </c>
    </row>
    <row r="25" spans="1:7" x14ac:dyDescent="0.2">
      <c r="A25">
        <v>2008</v>
      </c>
      <c r="B25" t="s">
        <v>17</v>
      </c>
      <c r="C25">
        <v>0.35995392980399815</v>
      </c>
      <c r="D25" s="8">
        <f>'[2]Total lbs'!B5*C25</f>
        <v>81081.743031504113</v>
      </c>
      <c r="E25" s="8">
        <v>81081.743031504113</v>
      </c>
      <c r="F25" s="8">
        <f t="shared" si="0"/>
        <v>36771.765547167393</v>
      </c>
      <c r="G25" s="9">
        <v>3.4</v>
      </c>
    </row>
    <row r="26" spans="1:7" x14ac:dyDescent="0.2">
      <c r="A26">
        <v>2009</v>
      </c>
      <c r="B26" t="s">
        <v>12</v>
      </c>
      <c r="C26">
        <v>0.3267351614898743</v>
      </c>
      <c r="D26" s="8">
        <f>'[2]Total lbs'!B6*C26</f>
        <v>55032.050694492944</v>
      </c>
      <c r="E26" s="8">
        <v>55032.050694492944</v>
      </c>
      <c r="F26" s="8">
        <f t="shared" si="0"/>
        <v>24957.846119951446</v>
      </c>
      <c r="G26" s="9">
        <v>3.4</v>
      </c>
    </row>
    <row r="27" spans="1:7" x14ac:dyDescent="0.2">
      <c r="A27">
        <v>2009</v>
      </c>
      <c r="B27" t="s">
        <v>13</v>
      </c>
      <c r="C27">
        <v>7.9741730155629353E-2</v>
      </c>
      <c r="D27" s="8">
        <f>'[2]Total lbs'!B6*C27</f>
        <v>13430.911189297172</v>
      </c>
      <c r="E27" s="8">
        <v>13430.911189297172</v>
      </c>
      <c r="F27" s="8">
        <f t="shared" si="0"/>
        <v>6091.1161856222998</v>
      </c>
      <c r="G27" s="9">
        <v>3.4</v>
      </c>
    </row>
    <row r="28" spans="1:7" x14ac:dyDescent="0.2">
      <c r="A28">
        <v>2009</v>
      </c>
      <c r="B28" t="s">
        <v>14</v>
      </c>
      <c r="C28">
        <v>9.2211613596405555E-3</v>
      </c>
      <c r="D28" s="8">
        <f>'[2]Total lbs'!B6*C28</f>
        <v>1553.1215467961349</v>
      </c>
      <c r="E28" s="8">
        <v>1553.1215467961349</v>
      </c>
      <c r="F28" s="8">
        <f t="shared" si="0"/>
        <v>704.36351328622891</v>
      </c>
      <c r="G28" s="9">
        <v>3.4</v>
      </c>
    </row>
    <row r="29" spans="1:7" x14ac:dyDescent="0.2">
      <c r="A29">
        <v>2009</v>
      </c>
      <c r="B29" t="s">
        <v>15</v>
      </c>
      <c r="C29">
        <v>0.14533885198932084</v>
      </c>
      <c r="D29" s="8">
        <f>'[2]Total lbs'!B6*C29</f>
        <v>24479.443945011662</v>
      </c>
      <c r="E29" s="8">
        <v>24479.443945011662</v>
      </c>
      <c r="F29" s="8">
        <f t="shared" si="0"/>
        <v>11101.788637193496</v>
      </c>
      <c r="G29" s="9">
        <v>3.4</v>
      </c>
    </row>
    <row r="30" spans="1:7" x14ac:dyDescent="0.2">
      <c r="A30">
        <v>2009</v>
      </c>
      <c r="B30" t="s">
        <v>16</v>
      </c>
      <c r="C30">
        <v>7.9009165201536752E-2</v>
      </c>
      <c r="D30" s="8">
        <f>'[2]Total lbs'!B6*C30</f>
        <v>13307.525167704627</v>
      </c>
      <c r="E30" s="8">
        <v>13307.525167704627</v>
      </c>
      <c r="F30" s="8">
        <f t="shared" si="0"/>
        <v>6035.1588062152505</v>
      </c>
      <c r="G30" s="9">
        <v>3.4</v>
      </c>
    </row>
    <row r="31" spans="1:7" x14ac:dyDescent="0.2">
      <c r="A31">
        <v>2009</v>
      </c>
      <c r="B31" t="s">
        <v>17</v>
      </c>
      <c r="C31">
        <v>0.35995392980399815</v>
      </c>
      <c r="D31" s="8">
        <f>'[2]Total lbs'!B6*C31</f>
        <v>60627.092665291464</v>
      </c>
      <c r="E31" s="8">
        <v>60627.092665291464</v>
      </c>
      <c r="F31" s="8">
        <f t="shared" si="0"/>
        <v>27495.28012031359</v>
      </c>
      <c r="G31" s="9">
        <v>3.4</v>
      </c>
    </row>
    <row r="32" spans="1:7" x14ac:dyDescent="0.2">
      <c r="A32">
        <v>2010</v>
      </c>
      <c r="B32" s="10" t="s">
        <v>12</v>
      </c>
      <c r="C32">
        <v>0.3267351614898743</v>
      </c>
      <c r="D32" s="8">
        <f>'[2]Total lbs'!B7*C32</f>
        <v>85112.194935521635</v>
      </c>
      <c r="E32" s="8">
        <v>85112.194935521635</v>
      </c>
      <c r="F32" s="8">
        <f t="shared" si="0"/>
        <v>38599.634891393027</v>
      </c>
      <c r="G32" s="9">
        <v>3.4</v>
      </c>
    </row>
    <row r="33" spans="1:7" x14ac:dyDescent="0.2">
      <c r="A33">
        <v>2010</v>
      </c>
      <c r="B33" s="10" t="s">
        <v>13</v>
      </c>
      <c r="C33">
        <v>7.9741730155629353E-2</v>
      </c>
      <c r="D33" s="8">
        <f>'[2]Total lbs'!B7*C33</f>
        <v>20772.155805190323</v>
      </c>
      <c r="E33" s="8">
        <v>20772.155805190323</v>
      </c>
      <c r="F33" s="8">
        <f t="shared" si="0"/>
        <v>9420.4788232155661</v>
      </c>
      <c r="G33" s="9">
        <v>3.4</v>
      </c>
    </row>
    <row r="34" spans="1:7" x14ac:dyDescent="0.2">
      <c r="A34">
        <v>2010</v>
      </c>
      <c r="B34" s="10" t="s">
        <v>14</v>
      </c>
      <c r="C34">
        <v>9.2211613596405555E-3</v>
      </c>
      <c r="D34" s="8">
        <f>'[2]Total lbs'!B7*C34</f>
        <v>2402.0472103304655</v>
      </c>
      <c r="E34" s="8">
        <v>2402.0472103304655</v>
      </c>
      <c r="F34" s="8">
        <f t="shared" si="0"/>
        <v>1089.3638142088278</v>
      </c>
      <c r="G34" s="9">
        <v>3.4</v>
      </c>
    </row>
    <row r="35" spans="1:7" x14ac:dyDescent="0.2">
      <c r="A35">
        <v>2010</v>
      </c>
      <c r="B35" s="10" t="s">
        <v>15</v>
      </c>
      <c r="C35">
        <v>0.14533885198932084</v>
      </c>
      <c r="D35" s="8">
        <f>'[2]Total lbs'!B7*C35</f>
        <v>37859.741344683403</v>
      </c>
      <c r="E35" s="8">
        <v>37859.741344683403</v>
      </c>
      <c r="F35" s="8">
        <f t="shared" si="0"/>
        <v>17169.950723212427</v>
      </c>
      <c r="G35" s="9">
        <v>3.4</v>
      </c>
    </row>
    <row r="36" spans="1:7" x14ac:dyDescent="0.2">
      <c r="A36">
        <v>2010</v>
      </c>
      <c r="B36" s="10" t="s">
        <v>16</v>
      </c>
      <c r="C36">
        <v>7.9009165201536752E-2</v>
      </c>
      <c r="D36" s="8">
        <f>'[2]Total lbs'!B7*C36</f>
        <v>20581.327824230601</v>
      </c>
      <c r="E36" s="8">
        <v>20581.327824230601</v>
      </c>
      <c r="F36" s="8">
        <f t="shared" si="0"/>
        <v>9333.935521193016</v>
      </c>
      <c r="G36" s="9">
        <v>3.4</v>
      </c>
    </row>
    <row r="37" spans="1:7" x14ac:dyDescent="0.2">
      <c r="A37">
        <v>2010</v>
      </c>
      <c r="B37" s="10" t="s">
        <v>17</v>
      </c>
      <c r="C37">
        <v>0.35995392980399815</v>
      </c>
      <c r="D37" s="8">
        <f>'[2]Total lbs'!B7*C37</f>
        <v>93765.448755457575</v>
      </c>
      <c r="E37" s="8">
        <v>93765.448755457575</v>
      </c>
      <c r="F37" s="8">
        <f t="shared" si="0"/>
        <v>42524.013041023842</v>
      </c>
      <c r="G37" s="9">
        <v>3.4</v>
      </c>
    </row>
    <row r="38" spans="1:7" x14ac:dyDescent="0.2">
      <c r="A38">
        <v>2011</v>
      </c>
      <c r="B38" s="10" t="s">
        <v>12</v>
      </c>
      <c r="C38">
        <v>0.3267351614898743</v>
      </c>
      <c r="D38" s="8">
        <f>'[2]Total lbs'!B8*C38</f>
        <v>45437.491447065615</v>
      </c>
      <c r="E38" s="8">
        <v>45437.491447065615</v>
      </c>
      <c r="F38" s="8">
        <f t="shared" si="0"/>
        <v>20606.572084837015</v>
      </c>
      <c r="G38" s="9">
        <v>3.4</v>
      </c>
    </row>
    <row r="39" spans="1:7" x14ac:dyDescent="0.2">
      <c r="A39">
        <v>2011</v>
      </c>
      <c r="B39" s="10" t="s">
        <v>13</v>
      </c>
      <c r="C39">
        <v>7.9741730155629353E-2</v>
      </c>
      <c r="D39" s="8">
        <f>'[2]Total lbs'!B8*C39</f>
        <v>11089.29986414367</v>
      </c>
      <c r="E39" s="8">
        <v>11089.29986414367</v>
      </c>
      <c r="F39" s="8">
        <f t="shared" si="0"/>
        <v>5029.1609361195779</v>
      </c>
      <c r="G39" s="9">
        <v>3.4</v>
      </c>
    </row>
    <row r="40" spans="1:7" x14ac:dyDescent="0.2">
      <c r="A40">
        <v>2011</v>
      </c>
      <c r="B40" s="10" t="s">
        <v>14</v>
      </c>
      <c r="C40">
        <v>9.2211613596405555E-3</v>
      </c>
      <c r="D40" s="8">
        <f>'[2]Total lbs'!B8*C40</f>
        <v>1282.3426731917996</v>
      </c>
      <c r="E40" s="8">
        <v>1282.3426731917996</v>
      </c>
      <c r="F40" s="8">
        <f t="shared" si="0"/>
        <v>581.56130303482973</v>
      </c>
      <c r="G40" s="9">
        <v>3.4</v>
      </c>
    </row>
    <row r="41" spans="1:7" x14ac:dyDescent="0.2">
      <c r="A41">
        <v>2011</v>
      </c>
      <c r="B41" s="10" t="s">
        <v>15</v>
      </c>
      <c r="C41">
        <v>0.14533885198932084</v>
      </c>
      <c r="D41" s="8">
        <f>'[2]Total lbs'!B8*C41</f>
        <v>20211.576905523092</v>
      </c>
      <c r="E41" s="8">
        <v>20211.576905523092</v>
      </c>
      <c r="F41" s="8">
        <f t="shared" si="0"/>
        <v>9166.2480297156872</v>
      </c>
      <c r="G41" s="9">
        <v>3.4</v>
      </c>
    </row>
    <row r="42" spans="1:7" x14ac:dyDescent="0.2">
      <c r="A42">
        <v>2011</v>
      </c>
      <c r="B42" s="10" t="s">
        <v>16</v>
      </c>
      <c r="C42">
        <v>7.9009165201536752E-2</v>
      </c>
      <c r="D42" s="8">
        <f>'[2]Total lbs'!B8*C42</f>
        <v>10987.425570344916</v>
      </c>
      <c r="E42" s="8">
        <v>10987.425570344916</v>
      </c>
      <c r="F42" s="8">
        <f t="shared" si="0"/>
        <v>4982.9594423332956</v>
      </c>
      <c r="G42" s="9">
        <v>3.4</v>
      </c>
    </row>
    <row r="43" spans="1:7" x14ac:dyDescent="0.2">
      <c r="A43">
        <v>2011</v>
      </c>
      <c r="B43" s="10" t="s">
        <v>17</v>
      </c>
      <c r="C43">
        <v>0.35995392980399815</v>
      </c>
      <c r="D43" s="8">
        <f>'[2]Total lbs'!B8*C43</f>
        <v>50057.06619461489</v>
      </c>
      <c r="E43" s="8">
        <v>50057.06619461489</v>
      </c>
      <c r="F43" s="8">
        <f t="shared" si="0"/>
        <v>22701.61732182081</v>
      </c>
      <c r="G43" s="9">
        <v>3.4</v>
      </c>
    </row>
    <row r="44" spans="1:7" x14ac:dyDescent="0.2">
      <c r="A44">
        <v>2012</v>
      </c>
      <c r="B44" s="10" t="s">
        <v>12</v>
      </c>
      <c r="C44">
        <v>0.3267351614898743</v>
      </c>
      <c r="D44" s="8">
        <f>'[2]Total lbs'!B9*C44</f>
        <v>70178.301205190393</v>
      </c>
      <c r="E44" s="8">
        <v>70178.301205190393</v>
      </c>
      <c r="F44" s="8">
        <f t="shared" si="0"/>
        <v>31826.893970607885</v>
      </c>
      <c r="G44" s="9">
        <v>3.4</v>
      </c>
    </row>
    <row r="45" spans="1:7" x14ac:dyDescent="0.2">
      <c r="A45">
        <v>2012</v>
      </c>
      <c r="B45" s="10" t="s">
        <v>13</v>
      </c>
      <c r="C45">
        <v>7.9741730155629353E-2</v>
      </c>
      <c r="D45" s="8">
        <f>'[2]Total lbs'!B9*C45</f>
        <v>17127.446987851043</v>
      </c>
      <c r="E45" s="8">
        <v>17127.446987851043</v>
      </c>
      <c r="F45" s="8">
        <f t="shared" si="0"/>
        <v>7767.549654354214</v>
      </c>
      <c r="G45" s="9">
        <v>3.4</v>
      </c>
    </row>
    <row r="46" spans="1:7" x14ac:dyDescent="0.2">
      <c r="A46">
        <v>2012</v>
      </c>
      <c r="B46" s="10" t="s">
        <v>14</v>
      </c>
      <c r="C46">
        <v>9.2211613596405555E-3</v>
      </c>
      <c r="D46" s="8">
        <f>'[2]Total lbs'!B9*C46</f>
        <v>1980.5809586201292</v>
      </c>
      <c r="E46" s="8">
        <v>1980.5809586201292</v>
      </c>
      <c r="F46" s="8">
        <f t="shared" si="0"/>
        <v>898.22265697058015</v>
      </c>
      <c r="G46" s="9">
        <v>3.4</v>
      </c>
    </row>
    <row r="47" spans="1:7" x14ac:dyDescent="0.2">
      <c r="A47">
        <v>2012</v>
      </c>
      <c r="B47" s="10" t="s">
        <v>15</v>
      </c>
      <c r="C47">
        <v>0.14533885198932084</v>
      </c>
      <c r="D47" s="8">
        <f>'[2]Total lbs'!B9*C47</f>
        <v>31216.823084525098</v>
      </c>
      <c r="E47" s="8">
        <v>31216.823084525098</v>
      </c>
      <c r="F47" s="8">
        <f t="shared" si="0"/>
        <v>14157.289380737006</v>
      </c>
      <c r="G47" s="9">
        <v>3.4</v>
      </c>
    </row>
    <row r="48" spans="1:7" x14ac:dyDescent="0.2">
      <c r="A48">
        <v>2012</v>
      </c>
      <c r="B48" s="10" t="s">
        <v>16</v>
      </c>
      <c r="C48">
        <v>7.9009165201536752E-2</v>
      </c>
      <c r="D48" s="8">
        <f>'[2]Total lbs'!B9*C48</f>
        <v>16970.101926590254</v>
      </c>
      <c r="E48" s="8">
        <v>16970.101926590254</v>
      </c>
      <c r="F48" s="8">
        <f t="shared" si="0"/>
        <v>7696.1913499275524</v>
      </c>
      <c r="G48" s="9">
        <v>3.4</v>
      </c>
    </row>
    <row r="49" spans="1:7" x14ac:dyDescent="0.2">
      <c r="A49">
        <v>2012</v>
      </c>
      <c r="B49" s="10" t="s">
        <v>17</v>
      </c>
      <c r="C49">
        <v>0.35995392980399815</v>
      </c>
      <c r="D49" s="8">
        <f>'[2]Total lbs'!B9*C49</f>
        <v>77313.244128945065</v>
      </c>
      <c r="E49" s="8">
        <v>77313.244128945065</v>
      </c>
      <c r="F49" s="8">
        <f t="shared" si="0"/>
        <v>35062.695750088467</v>
      </c>
      <c r="G49" s="9">
        <v>3.4</v>
      </c>
    </row>
    <row r="50" spans="1:7" x14ac:dyDescent="0.2">
      <c r="A50">
        <v>2013</v>
      </c>
      <c r="B50" s="10" t="s">
        <v>12</v>
      </c>
      <c r="C50">
        <v>0.3267351614898743</v>
      </c>
      <c r="D50" s="8">
        <f>'[2]Total lbs'!B10*C50</f>
        <v>76498.186613212791</v>
      </c>
      <c r="E50" s="8">
        <v>76498.186613212791</v>
      </c>
      <c r="F50" s="8">
        <f t="shared" si="0"/>
        <v>34693.055153384485</v>
      </c>
      <c r="G50" s="9">
        <v>3.4</v>
      </c>
    </row>
    <row r="51" spans="1:7" x14ac:dyDescent="0.2">
      <c r="A51">
        <v>2013</v>
      </c>
      <c r="B51" s="10" t="s">
        <v>13</v>
      </c>
      <c r="C51">
        <v>7.9741730155629353E-2</v>
      </c>
      <c r="D51" s="8">
        <f>'[2]Total lbs'!B10*C51</f>
        <v>18669.853977423354</v>
      </c>
      <c r="E51" s="8">
        <v>18669.853977423354</v>
      </c>
      <c r="F51" s="8">
        <f t="shared" si="0"/>
        <v>8467.0539580151271</v>
      </c>
      <c r="G51" s="9">
        <v>3.4</v>
      </c>
    </row>
    <row r="52" spans="1:7" x14ac:dyDescent="0.2">
      <c r="A52">
        <v>2013</v>
      </c>
      <c r="B52" s="10" t="s">
        <v>14</v>
      </c>
      <c r="C52">
        <v>9.2211613596405555E-3</v>
      </c>
      <c r="D52" s="8">
        <f>'[2]Total lbs'!B10*C52</f>
        <v>2158.941569875059</v>
      </c>
      <c r="E52" s="8">
        <v>2158.941569875059</v>
      </c>
      <c r="F52" s="8">
        <f t="shared" si="0"/>
        <v>979.11182307258912</v>
      </c>
      <c r="G52" s="9">
        <v>3.4</v>
      </c>
    </row>
    <row r="53" spans="1:7" x14ac:dyDescent="0.2">
      <c r="A53">
        <v>2013</v>
      </c>
      <c r="B53" s="10" t="s">
        <v>15</v>
      </c>
      <c r="C53">
        <v>0.14533885198932084</v>
      </c>
      <c r="D53" s="8">
        <f>'[2]Total lbs'!B10*C53</f>
        <v>34028.044520619296</v>
      </c>
      <c r="E53" s="8">
        <v>34028.044520619296</v>
      </c>
      <c r="F53" s="8">
        <f t="shared" si="0"/>
        <v>15432.219737242311</v>
      </c>
      <c r="G53" s="9">
        <v>3.4</v>
      </c>
    </row>
    <row r="54" spans="1:7" x14ac:dyDescent="0.2">
      <c r="A54">
        <v>2013</v>
      </c>
      <c r="B54" s="10" t="s">
        <v>16</v>
      </c>
      <c r="C54">
        <v>7.9009165201536752E-2</v>
      </c>
      <c r="D54" s="8">
        <f>'[2]Total lbs'!B10*C54</f>
        <v>18498.339254891074</v>
      </c>
      <c r="E54" s="8">
        <v>18498.339254891074</v>
      </c>
      <c r="F54" s="8">
        <f t="shared" si="0"/>
        <v>8389.2695033519612</v>
      </c>
      <c r="G54" s="9">
        <v>3.4</v>
      </c>
    </row>
    <row r="55" spans="1:7" x14ac:dyDescent="0.2">
      <c r="A55">
        <v>2013</v>
      </c>
      <c r="B55" s="10" t="s">
        <v>17</v>
      </c>
      <c r="C55">
        <v>0.35995392980399815</v>
      </c>
      <c r="D55" s="8">
        <f>'[2]Total lbs'!B10*C55</f>
        <v>84275.664635374415</v>
      </c>
      <c r="E55" s="8">
        <v>84275.664635374415</v>
      </c>
      <c r="F55" s="8">
        <f t="shared" si="0"/>
        <v>38220.256070464588</v>
      </c>
      <c r="G55" s="9">
        <v>3.4</v>
      </c>
    </row>
    <row r="56" spans="1:7" x14ac:dyDescent="0.2">
      <c r="A56">
        <v>2014</v>
      </c>
      <c r="B56" s="10" t="s">
        <v>12</v>
      </c>
      <c r="C56">
        <v>0.3267351614898743</v>
      </c>
      <c r="D56" s="8">
        <f>'[2]Total lbs'!B11*C56</f>
        <v>75144.972298231631</v>
      </c>
      <c r="E56" s="8">
        <v>75144.972298231631</v>
      </c>
      <c r="F56" s="8">
        <f t="shared" si="0"/>
        <v>34079.352516204817</v>
      </c>
      <c r="G56" s="9">
        <v>3.4</v>
      </c>
    </row>
    <row r="57" spans="1:7" x14ac:dyDescent="0.2">
      <c r="A57">
        <v>2014</v>
      </c>
      <c r="B57" s="10" t="s">
        <v>13</v>
      </c>
      <c r="C57">
        <v>7.9741730155629353E-2</v>
      </c>
      <c r="D57" s="8">
        <f>'[2]Total lbs'!B11*C57</f>
        <v>18339.59368264542</v>
      </c>
      <c r="E57" s="8">
        <v>18339.59368264542</v>
      </c>
      <c r="F57" s="8">
        <f t="shared" si="0"/>
        <v>8317.276046551211</v>
      </c>
      <c r="G57" s="9">
        <v>3.4</v>
      </c>
    </row>
    <row r="58" spans="1:7" x14ac:dyDescent="0.2">
      <c r="A58">
        <v>2014</v>
      </c>
      <c r="B58" s="10" t="s">
        <v>14</v>
      </c>
      <c r="C58">
        <v>9.2211613596405555E-3</v>
      </c>
      <c r="D58" s="8">
        <f>'[2]Total lbs'!B11*C58</f>
        <v>2120.7509830532504</v>
      </c>
      <c r="E58" s="8">
        <v>2120.7509830532504</v>
      </c>
      <c r="F58" s="8">
        <f t="shared" si="0"/>
        <v>961.79182904909305</v>
      </c>
      <c r="G58" s="9">
        <v>3.4</v>
      </c>
    </row>
    <row r="59" spans="1:7" x14ac:dyDescent="0.2">
      <c r="A59">
        <v>2014</v>
      </c>
      <c r="B59" s="10" t="s">
        <v>15</v>
      </c>
      <c r="C59">
        <v>0.14533885198932084</v>
      </c>
      <c r="D59" s="8">
        <f>'[2]Total lbs'!B11*C59</f>
        <v>33426.105585923491</v>
      </c>
      <c r="E59" s="8">
        <v>33426.105585923491</v>
      </c>
      <c r="F59" s="8">
        <f t="shared" si="0"/>
        <v>15159.231558241945</v>
      </c>
      <c r="G59" s="9">
        <v>3.4</v>
      </c>
    </row>
    <row r="60" spans="1:7" x14ac:dyDescent="0.2">
      <c r="A60">
        <v>2014</v>
      </c>
      <c r="B60" s="10" t="s">
        <v>16</v>
      </c>
      <c r="C60">
        <v>7.9009165201536752E-2</v>
      </c>
      <c r="D60" s="8">
        <f>'[2]Total lbs'!B11*C60</f>
        <v>18171.112968996698</v>
      </c>
      <c r="E60" s="8">
        <v>18171.112968996698</v>
      </c>
      <c r="F60" s="8">
        <f t="shared" si="0"/>
        <v>8240.8675596356898</v>
      </c>
      <c r="G60" s="9">
        <v>3.4</v>
      </c>
    </row>
    <row r="61" spans="1:7" x14ac:dyDescent="0.2">
      <c r="A61">
        <v>2014</v>
      </c>
      <c r="B61" s="10" t="s">
        <v>17</v>
      </c>
      <c r="C61">
        <v>0.35995392980399815</v>
      </c>
      <c r="D61" s="8">
        <f>'[2]Total lbs'!B11*C61</f>
        <v>82784.870659227498</v>
      </c>
      <c r="E61" s="8">
        <v>82784.870659227498</v>
      </c>
      <c r="F61" s="8">
        <f t="shared" si="0"/>
        <v>37544.159029128117</v>
      </c>
      <c r="G61" s="9">
        <v>3.4</v>
      </c>
    </row>
    <row r="62" spans="1:7" x14ac:dyDescent="0.2">
      <c r="A62">
        <v>2015</v>
      </c>
      <c r="B62" s="10" t="s">
        <v>12</v>
      </c>
      <c r="C62">
        <v>0.3267351614898743</v>
      </c>
      <c r="D62" s="8">
        <f>'[2]Total lbs'!B12*C62</f>
        <v>57844.010315572894</v>
      </c>
      <c r="E62" s="8">
        <v>57844.010315572894</v>
      </c>
      <c r="F62" s="8">
        <f t="shared" si="0"/>
        <v>26233.111254228068</v>
      </c>
      <c r="G62" s="9">
        <v>3.4</v>
      </c>
    </row>
    <row r="63" spans="1:7" x14ac:dyDescent="0.2">
      <c r="A63">
        <v>2015</v>
      </c>
      <c r="B63" s="10" t="s">
        <v>13</v>
      </c>
      <c r="C63">
        <v>7.9741730155629353E-2</v>
      </c>
      <c r="D63" s="8">
        <f>'[2]Total lbs'!B12*C63</f>
        <v>14117.187267727844</v>
      </c>
      <c r="E63" s="8">
        <v>14117.187267727844</v>
      </c>
      <c r="F63" s="8">
        <f t="shared" si="0"/>
        <v>6402.3525023709044</v>
      </c>
      <c r="G63" s="9">
        <v>3.4</v>
      </c>
    </row>
    <row r="64" spans="1:7" x14ac:dyDescent="0.2">
      <c r="A64">
        <v>2015</v>
      </c>
      <c r="B64" s="10" t="s">
        <v>14</v>
      </c>
      <c r="C64">
        <v>9.2211613596405555E-3</v>
      </c>
      <c r="D64" s="8">
        <f>'[2]Total lbs'!B12*C64</f>
        <v>1632.4810295176649</v>
      </c>
      <c r="E64" s="8">
        <v>1632.4810295176649</v>
      </c>
      <c r="F64" s="8">
        <f t="shared" si="0"/>
        <v>740.35420839803396</v>
      </c>
      <c r="G64" s="9">
        <v>3.4</v>
      </c>
    </row>
    <row r="65" spans="1:7" x14ac:dyDescent="0.2">
      <c r="A65">
        <v>2015</v>
      </c>
      <c r="B65" s="10" t="s">
        <v>15</v>
      </c>
      <c r="C65">
        <v>0.14533885198932084</v>
      </c>
      <c r="D65" s="8">
        <f>'[2]Total lbs'!B12*C65</f>
        <v>25730.26427700324</v>
      </c>
      <c r="E65" s="8">
        <v>25730.26427700324</v>
      </c>
      <c r="F65" s="8">
        <f t="shared" si="0"/>
        <v>11669.05409387902</v>
      </c>
      <c r="G65" s="9">
        <v>3.4</v>
      </c>
    </row>
    <row r="66" spans="1:7" x14ac:dyDescent="0.2">
      <c r="A66">
        <v>2015</v>
      </c>
      <c r="B66" s="10" t="s">
        <v>16</v>
      </c>
      <c r="C66">
        <v>7.9009165201536752E-2</v>
      </c>
      <c r="D66" s="8">
        <f>'[2]Total lbs'!B12*C66</f>
        <v>13987.496619901216</v>
      </c>
      <c r="E66" s="8">
        <v>13987.496619901216</v>
      </c>
      <c r="F66" s="8">
        <f t="shared" si="0"/>
        <v>6343.5358820413676</v>
      </c>
      <c r="G66" s="9">
        <v>3.4</v>
      </c>
    </row>
    <row r="67" spans="1:7" x14ac:dyDescent="0.2">
      <c r="A67">
        <v>2015</v>
      </c>
      <c r="B67" s="10" t="s">
        <v>17</v>
      </c>
      <c r="C67">
        <v>0.35995392980399815</v>
      </c>
      <c r="D67" s="8">
        <f>'[2]Total lbs'!B12*C67</f>
        <v>63724.94081681114</v>
      </c>
      <c r="E67" s="8">
        <v>63724.94081681114</v>
      </c>
      <c r="F67" s="8">
        <f t="shared" ref="F67:F109" si="1">E67/2.205</f>
        <v>28900.199916921152</v>
      </c>
      <c r="G67" s="9">
        <v>3.4</v>
      </c>
    </row>
    <row r="68" spans="1:7" x14ac:dyDescent="0.2">
      <c r="A68">
        <v>2016</v>
      </c>
      <c r="B68" s="10" t="s">
        <v>12</v>
      </c>
      <c r="C68">
        <v>0.3267351614898743</v>
      </c>
      <c r="D68" s="8">
        <f>'[2]Total lbs'!B13*C68</f>
        <v>51092.412828073153</v>
      </c>
      <c r="E68" s="8">
        <v>51092.412828073153</v>
      </c>
      <c r="F68" s="8">
        <f t="shared" si="1"/>
        <v>23171.162280305285</v>
      </c>
      <c r="G68" s="9">
        <v>3.4</v>
      </c>
    </row>
    <row r="69" spans="1:7" x14ac:dyDescent="0.2">
      <c r="A69">
        <v>2016</v>
      </c>
      <c r="B69" s="10" t="s">
        <v>13</v>
      </c>
      <c r="C69">
        <v>7.9741730155629353E-2</v>
      </c>
      <c r="D69" s="8">
        <f>'[2]Total lbs'!B13*C69</f>
        <v>12469.41828408782</v>
      </c>
      <c r="E69" s="8">
        <v>12469.41828408782</v>
      </c>
      <c r="F69" s="8">
        <f t="shared" si="1"/>
        <v>5655.0649814457229</v>
      </c>
      <c r="G69" s="9">
        <v>3.4</v>
      </c>
    </row>
    <row r="70" spans="1:7" x14ac:dyDescent="0.2">
      <c r="A70">
        <v>2016</v>
      </c>
      <c r="B70" s="10" t="s">
        <v>14</v>
      </c>
      <c r="C70">
        <v>9.2211613596405555E-3</v>
      </c>
      <c r="D70" s="8">
        <f>'[2]Total lbs'!B13*C70</f>
        <v>1441.9365849476603</v>
      </c>
      <c r="E70" s="8">
        <v>1441.9365849476603</v>
      </c>
      <c r="F70" s="8">
        <f t="shared" si="1"/>
        <v>653.93949430732891</v>
      </c>
      <c r="G70" s="9">
        <v>3.4</v>
      </c>
    </row>
    <row r="71" spans="1:7" x14ac:dyDescent="0.2">
      <c r="A71">
        <v>2016</v>
      </c>
      <c r="B71" s="10" t="s">
        <v>15</v>
      </c>
      <c r="C71">
        <v>0.14533885198932084</v>
      </c>
      <c r="D71" s="8">
        <f>'[2]Total lbs'!B13*C71</f>
        <v>22727.007990007001</v>
      </c>
      <c r="E71" s="8">
        <v>22727.007990007001</v>
      </c>
      <c r="F71" s="8">
        <f t="shared" si="1"/>
        <v>10307.033102043992</v>
      </c>
      <c r="G71" s="9">
        <v>3.4</v>
      </c>
    </row>
    <row r="72" spans="1:7" x14ac:dyDescent="0.2">
      <c r="A72">
        <v>2016</v>
      </c>
      <c r="B72" s="10" t="s">
        <v>16</v>
      </c>
      <c r="C72">
        <v>7.9009165201536752E-2</v>
      </c>
      <c r="D72" s="8">
        <f>'[2]Total lbs'!B13*C72</f>
        <v>12354.865228679862</v>
      </c>
      <c r="E72" s="8">
        <v>12354.865228679862</v>
      </c>
      <c r="F72" s="8">
        <f t="shared" si="1"/>
        <v>5603.1134823944949</v>
      </c>
      <c r="G72" s="9">
        <v>3.4</v>
      </c>
    </row>
    <row r="73" spans="1:7" x14ac:dyDescent="0.2">
      <c r="A73">
        <v>2016</v>
      </c>
      <c r="B73" s="10" t="s">
        <v>17</v>
      </c>
      <c r="C73">
        <v>0.35995392980399815</v>
      </c>
      <c r="D73" s="8">
        <f>'[2]Total lbs'!B13*C73</f>
        <v>56286.91658642648</v>
      </c>
      <c r="E73" s="8">
        <v>56286.91658642648</v>
      </c>
      <c r="F73" s="8">
        <f t="shared" si="1"/>
        <v>25526.946297699084</v>
      </c>
      <c r="G73" s="9">
        <v>3.4</v>
      </c>
    </row>
    <row r="74" spans="1:7" x14ac:dyDescent="0.2">
      <c r="A74">
        <v>2017</v>
      </c>
      <c r="B74" s="10" t="s">
        <v>12</v>
      </c>
      <c r="C74">
        <v>0.3267351614898743</v>
      </c>
      <c r="D74" s="8">
        <f>'[2]Total lbs'!B14*C74</f>
        <v>40318.842829032306</v>
      </c>
      <c r="E74" s="8">
        <v>40318.842829032306</v>
      </c>
      <c r="F74" s="8">
        <f t="shared" si="1"/>
        <v>18285.189491624627</v>
      </c>
      <c r="G74" s="9">
        <v>3.4</v>
      </c>
    </row>
    <row r="75" spans="1:7" x14ac:dyDescent="0.2">
      <c r="A75">
        <v>2017</v>
      </c>
      <c r="B75" s="10" t="s">
        <v>13</v>
      </c>
      <c r="C75">
        <v>7.9741730155629353E-2</v>
      </c>
      <c r="D75" s="8">
        <f>'[2]Total lbs'!B14*C75</f>
        <v>9840.0621175862143</v>
      </c>
      <c r="E75" s="8">
        <v>9840.0621175862143</v>
      </c>
      <c r="F75" s="8">
        <f t="shared" si="1"/>
        <v>4462.613205254519</v>
      </c>
      <c r="G75" s="9">
        <v>3.4</v>
      </c>
    </row>
    <row r="76" spans="1:7" x14ac:dyDescent="0.2">
      <c r="A76">
        <v>2017</v>
      </c>
      <c r="B76" s="10" t="s">
        <v>14</v>
      </c>
      <c r="C76">
        <v>9.2211613596405555E-3</v>
      </c>
      <c r="D76" s="8">
        <f>'[2]Total lbs'!B14*C76</f>
        <v>1137.8835196836178</v>
      </c>
      <c r="E76" s="8">
        <v>1137.8835196836178</v>
      </c>
      <c r="F76" s="8">
        <f t="shared" si="1"/>
        <v>516.04694770232095</v>
      </c>
      <c r="G76" s="9">
        <v>3.4</v>
      </c>
    </row>
    <row r="77" spans="1:7" x14ac:dyDescent="0.2">
      <c r="A77">
        <v>2017</v>
      </c>
      <c r="B77" s="10" t="s">
        <v>15</v>
      </c>
      <c r="C77">
        <v>0.14533885198932084</v>
      </c>
      <c r="D77" s="8">
        <f>'[2]Total lbs'!B14*C77</f>
        <v>17934.691520768625</v>
      </c>
      <c r="E77" s="8">
        <v>17934.691520768625</v>
      </c>
      <c r="F77" s="8">
        <f t="shared" si="1"/>
        <v>8133.6469481943877</v>
      </c>
      <c r="G77" s="9">
        <v>3.4</v>
      </c>
    </row>
    <row r="78" spans="1:7" x14ac:dyDescent="0.2">
      <c r="A78">
        <v>2017</v>
      </c>
      <c r="B78" s="10" t="s">
        <v>16</v>
      </c>
      <c r="C78">
        <v>7.9009165201536752E-2</v>
      </c>
      <c r="D78" s="8">
        <f>'[2]Total lbs'!B14*C78</f>
        <v>9749.6642212856277</v>
      </c>
      <c r="E78" s="8">
        <v>9749.6642212856277</v>
      </c>
      <c r="F78" s="8">
        <f t="shared" si="1"/>
        <v>4421.6164268869061</v>
      </c>
      <c r="G78" s="9">
        <v>3.4</v>
      </c>
    </row>
    <row r="79" spans="1:7" x14ac:dyDescent="0.2">
      <c r="A79">
        <v>2017</v>
      </c>
      <c r="B79" s="10" t="s">
        <v>17</v>
      </c>
      <c r="C79">
        <v>0.35995392980399815</v>
      </c>
      <c r="D79" s="8">
        <f>'[2]Total lbs'!B14*C79</f>
        <v>44418.010768362597</v>
      </c>
      <c r="E79" s="8">
        <v>44418.010768362597</v>
      </c>
      <c r="F79" s="8">
        <f t="shared" si="1"/>
        <v>20144.222570685986</v>
      </c>
      <c r="G79" s="9">
        <v>3.4</v>
      </c>
    </row>
    <row r="80" spans="1:7" x14ac:dyDescent="0.2">
      <c r="A80">
        <v>2018</v>
      </c>
      <c r="B80" s="10" t="s">
        <v>12</v>
      </c>
      <c r="C80">
        <v>0.3267351614898743</v>
      </c>
      <c r="D80" s="8">
        <f>'[2]Total lbs'!B15*C80</f>
        <v>81586.114104556764</v>
      </c>
      <c r="E80" s="8">
        <v>81586.114104556764</v>
      </c>
      <c r="F80" s="8">
        <f t="shared" si="1"/>
        <v>37000.505262837534</v>
      </c>
      <c r="G80" s="9">
        <v>3.4</v>
      </c>
    </row>
    <row r="81" spans="1:7" x14ac:dyDescent="0.2">
      <c r="A81">
        <v>2018</v>
      </c>
      <c r="B81" s="10" t="s">
        <v>13</v>
      </c>
      <c r="C81">
        <v>7.9741730155629353E-2</v>
      </c>
      <c r="D81" s="8">
        <f>'[2]Total lbs'!B15*C81</f>
        <v>19911.594043647394</v>
      </c>
      <c r="E81" s="8">
        <v>19911.594043647394</v>
      </c>
      <c r="F81" s="8">
        <f t="shared" si="1"/>
        <v>9030.2013803389546</v>
      </c>
      <c r="G81" s="9">
        <v>3.4</v>
      </c>
    </row>
    <row r="82" spans="1:7" x14ac:dyDescent="0.2">
      <c r="A82">
        <v>2018</v>
      </c>
      <c r="B82" s="10" t="s">
        <v>14</v>
      </c>
      <c r="C82">
        <v>9.2211613596405555E-3</v>
      </c>
      <c r="D82" s="8">
        <f>'[2]Total lbs'!B15*C82</f>
        <v>2302.5337078313773</v>
      </c>
      <c r="E82" s="8">
        <v>2302.5337078313773</v>
      </c>
      <c r="F82" s="8">
        <f t="shared" si="1"/>
        <v>1044.2329740731871</v>
      </c>
      <c r="G82" s="9">
        <v>3.4</v>
      </c>
    </row>
    <row r="83" spans="1:7" x14ac:dyDescent="0.2">
      <c r="A83">
        <v>2018</v>
      </c>
      <c r="B83" s="10" t="s">
        <v>15</v>
      </c>
      <c r="C83">
        <v>0.14533885198932084</v>
      </c>
      <c r="D83" s="8">
        <f>'[2]Total lbs'!B15*C83</f>
        <v>36291.264485146297</v>
      </c>
      <c r="E83" s="8">
        <v>36291.264485146297</v>
      </c>
      <c r="F83" s="8">
        <f t="shared" si="1"/>
        <v>16458.623349272697</v>
      </c>
      <c r="G83" s="9">
        <v>3.4</v>
      </c>
    </row>
    <row r="84" spans="1:7" x14ac:dyDescent="0.2">
      <c r="A84">
        <v>2018</v>
      </c>
      <c r="B84" s="10" t="s">
        <v>16</v>
      </c>
      <c r="C84">
        <v>7.9009165201536752E-2</v>
      </c>
      <c r="D84" s="8">
        <f>'[2]Total lbs'!B15*C84</f>
        <v>19728.671802707464</v>
      </c>
      <c r="E84" s="8">
        <v>19728.671802707464</v>
      </c>
      <c r="F84" s="8">
        <f t="shared" si="1"/>
        <v>8947.2434479398926</v>
      </c>
      <c r="G84" s="9">
        <v>3.4</v>
      </c>
    </row>
    <row r="85" spans="1:7" x14ac:dyDescent="0.2">
      <c r="A85">
        <v>2018</v>
      </c>
      <c r="B85" s="10" t="s">
        <v>17</v>
      </c>
      <c r="C85">
        <v>0.35995392980399815</v>
      </c>
      <c r="D85" s="8">
        <f>'[2]Total lbs'!B15*C85</f>
        <v>89880.875555178689</v>
      </c>
      <c r="E85" s="8">
        <v>89880.875555178689</v>
      </c>
      <c r="F85" s="8">
        <f t="shared" si="1"/>
        <v>40762.301839083302</v>
      </c>
      <c r="G85" s="9">
        <v>3.4</v>
      </c>
    </row>
    <row r="86" spans="1:7" x14ac:dyDescent="0.2">
      <c r="A86">
        <v>2019</v>
      </c>
      <c r="B86" s="10" t="s">
        <v>12</v>
      </c>
      <c r="C86">
        <v>0.3267351614898743</v>
      </c>
      <c r="D86" s="8">
        <f>'[2]Total lbs'!B16*C86</f>
        <v>67075.106520246889</v>
      </c>
      <c r="E86" s="8">
        <v>67075.106520246889</v>
      </c>
      <c r="F86" s="8">
        <f t="shared" si="1"/>
        <v>30419.549442288837</v>
      </c>
      <c r="G86" s="9">
        <v>3.4</v>
      </c>
    </row>
    <row r="87" spans="1:7" x14ac:dyDescent="0.2">
      <c r="A87">
        <v>2019</v>
      </c>
      <c r="B87" s="10" t="s">
        <v>13</v>
      </c>
      <c r="C87">
        <v>7.9741730155629353E-2</v>
      </c>
      <c r="D87" s="8">
        <f>'[2]Total lbs'!B16*C87</f>
        <v>16370.093196912881</v>
      </c>
      <c r="E87" s="8">
        <v>16370.093196912881</v>
      </c>
      <c r="F87" s="8">
        <f t="shared" si="1"/>
        <v>7424.0785473527803</v>
      </c>
      <c r="G87" s="9">
        <v>3.4</v>
      </c>
    </row>
    <row r="88" spans="1:7" x14ac:dyDescent="0.2">
      <c r="A88">
        <v>2019</v>
      </c>
      <c r="B88" s="10" t="s">
        <v>14</v>
      </c>
      <c r="C88">
        <v>9.2211613596405555E-3</v>
      </c>
      <c r="D88" s="8">
        <f>'[2]Total lbs'!B16*C88</f>
        <v>1893.0022028175345</v>
      </c>
      <c r="E88" s="8">
        <v>1893.0022028175345</v>
      </c>
      <c r="F88" s="8">
        <f t="shared" si="1"/>
        <v>858.50440037076385</v>
      </c>
      <c r="G88" s="9">
        <v>3.4</v>
      </c>
    </row>
    <row r="89" spans="1:7" x14ac:dyDescent="0.2">
      <c r="A89">
        <v>2019</v>
      </c>
      <c r="B89" s="10" t="s">
        <v>15</v>
      </c>
      <c r="C89">
        <v>0.14533885198932084</v>
      </c>
      <c r="D89" s="8">
        <f>'[2]Total lbs'!B16*C89</f>
        <v>29836.455110192379</v>
      </c>
      <c r="E89" s="8">
        <v>29836.455110192379</v>
      </c>
      <c r="F89" s="8">
        <f t="shared" si="1"/>
        <v>13531.272158817404</v>
      </c>
      <c r="G89" s="9">
        <v>3.4</v>
      </c>
    </row>
    <row r="90" spans="1:7" x14ac:dyDescent="0.2">
      <c r="A90">
        <v>2019</v>
      </c>
      <c r="B90" s="10" t="s">
        <v>16</v>
      </c>
      <c r="C90">
        <v>7.9009165201536752E-2</v>
      </c>
      <c r="D90" s="8">
        <f>'[2]Total lbs'!B16*C90</f>
        <v>16219.705732935319</v>
      </c>
      <c r="E90" s="8">
        <v>16219.705732935319</v>
      </c>
      <c r="F90" s="8">
        <f t="shared" si="1"/>
        <v>7355.8756158436818</v>
      </c>
      <c r="G90" s="9">
        <v>3.4</v>
      </c>
    </row>
    <row r="91" spans="1:7" x14ac:dyDescent="0.2">
      <c r="A91">
        <v>2019</v>
      </c>
      <c r="B91" s="10" t="s">
        <v>17</v>
      </c>
      <c r="C91">
        <v>0.35995392980399815</v>
      </c>
      <c r="D91" s="8">
        <f>'[2]Total lbs'!B16*C91</f>
        <v>73894.551397195988</v>
      </c>
      <c r="E91" s="8">
        <v>73894.551397195988</v>
      </c>
      <c r="F91" s="8">
        <f t="shared" si="1"/>
        <v>33512.268207345121</v>
      </c>
      <c r="G91" s="9">
        <v>3.4</v>
      </c>
    </row>
    <row r="92" spans="1:7" x14ac:dyDescent="0.2">
      <c r="A92">
        <v>2020</v>
      </c>
      <c r="B92" s="10" t="s">
        <v>12</v>
      </c>
      <c r="C92">
        <v>0.3267351614898743</v>
      </c>
      <c r="D92" s="8">
        <f>'[2]Total lbs'!B17*C92</f>
        <v>66621.08352157686</v>
      </c>
      <c r="E92" s="8">
        <v>66621.08352157686</v>
      </c>
      <c r="F92" s="8">
        <f t="shared" si="1"/>
        <v>30213.643320443018</v>
      </c>
      <c r="G92" s="9">
        <v>3.4</v>
      </c>
    </row>
    <row r="93" spans="1:7" x14ac:dyDescent="0.2">
      <c r="A93">
        <v>2020</v>
      </c>
      <c r="B93" s="10" t="s">
        <v>13</v>
      </c>
      <c r="C93">
        <v>7.9741730155629353E-2</v>
      </c>
      <c r="D93" s="8">
        <f>'[2]Total lbs'!B17*C93</f>
        <v>16259.286085491794</v>
      </c>
      <c r="E93" s="8">
        <v>16259.286085491794</v>
      </c>
      <c r="F93" s="8">
        <f t="shared" si="1"/>
        <v>7373.8258891119249</v>
      </c>
      <c r="G93" s="9">
        <v>3.4</v>
      </c>
    </row>
    <row r="94" spans="1:7" x14ac:dyDescent="0.2">
      <c r="A94">
        <v>2020</v>
      </c>
      <c r="B94" s="10" t="s">
        <v>14</v>
      </c>
      <c r="C94">
        <v>9.2211613596405555E-3</v>
      </c>
      <c r="D94" s="8">
        <f>'[2]Total lbs'!B17*C94</f>
        <v>1880.1887078981824</v>
      </c>
      <c r="E94" s="8">
        <v>1880.1887078981824</v>
      </c>
      <c r="F94" s="8">
        <f t="shared" si="1"/>
        <v>852.69329156380149</v>
      </c>
      <c r="G94" s="9">
        <v>3.4</v>
      </c>
    </row>
    <row r="95" spans="1:7" x14ac:dyDescent="0.2">
      <c r="A95">
        <v>2020</v>
      </c>
      <c r="B95" s="10" t="s">
        <v>15</v>
      </c>
      <c r="C95">
        <v>0.14533885198932084</v>
      </c>
      <c r="D95" s="8">
        <f>'[2]Total lbs'!B17*C95</f>
        <v>29634.495880880917</v>
      </c>
      <c r="E95" s="8">
        <v>29634.495880880917</v>
      </c>
      <c r="F95" s="8">
        <f t="shared" si="1"/>
        <v>13439.680671601322</v>
      </c>
      <c r="G95" s="9">
        <v>3.4</v>
      </c>
    </row>
    <row r="96" spans="1:7" x14ac:dyDescent="0.2">
      <c r="A96">
        <v>2020</v>
      </c>
      <c r="B96" s="10" t="s">
        <v>16</v>
      </c>
      <c r="C96">
        <v>7.9009165201536752E-2</v>
      </c>
      <c r="D96" s="8">
        <f>'[2]Total lbs'!B17*C96</f>
        <v>16109.916575430369</v>
      </c>
      <c r="E96" s="8">
        <v>16109.916575430369</v>
      </c>
      <c r="F96" s="8">
        <f t="shared" si="1"/>
        <v>7306.08461470765</v>
      </c>
      <c r="G96" s="9">
        <v>3.4</v>
      </c>
    </row>
    <row r="97" spans="1:7" x14ac:dyDescent="0.2">
      <c r="A97">
        <v>2020</v>
      </c>
      <c r="B97" s="10" t="s">
        <v>17</v>
      </c>
      <c r="C97">
        <v>0.35995392980399815</v>
      </c>
      <c r="D97" s="8">
        <f>'[2]Total lbs'!B17*C97</f>
        <v>73394.368429903872</v>
      </c>
      <c r="E97" s="8">
        <v>73394.368429903872</v>
      </c>
      <c r="F97" s="8">
        <f t="shared" si="1"/>
        <v>33285.427859366835</v>
      </c>
      <c r="G97" s="9">
        <v>3.4</v>
      </c>
    </row>
    <row r="98" spans="1:7" x14ac:dyDescent="0.2">
      <c r="A98">
        <v>2021</v>
      </c>
      <c r="B98" s="10" t="s">
        <v>12</v>
      </c>
      <c r="C98">
        <v>0.3267351614898743</v>
      </c>
      <c r="D98" s="8">
        <f>'[2]Total lbs'!B18*C98</f>
        <v>98459.905410540654</v>
      </c>
      <c r="E98" s="8">
        <v>98459.905410540654</v>
      </c>
      <c r="F98" s="8">
        <f t="shared" si="1"/>
        <v>44653.018326775804</v>
      </c>
      <c r="G98" s="9">
        <v>3.4</v>
      </c>
    </row>
    <row r="99" spans="1:7" x14ac:dyDescent="0.2">
      <c r="A99">
        <v>2021</v>
      </c>
      <c r="B99" s="10" t="s">
        <v>13</v>
      </c>
      <c r="C99">
        <v>7.9741730155629353E-2</v>
      </c>
      <c r="D99" s="8">
        <f>'[2]Total lbs'!B18*C99</f>
        <v>24029.746821844397</v>
      </c>
      <c r="E99" s="8">
        <v>24029.746821844397</v>
      </c>
      <c r="F99" s="8">
        <f t="shared" si="1"/>
        <v>10897.844363648252</v>
      </c>
      <c r="G99" s="9">
        <v>3.4</v>
      </c>
    </row>
    <row r="100" spans="1:7" x14ac:dyDescent="0.2">
      <c r="A100">
        <v>2021</v>
      </c>
      <c r="B100" s="10" t="s">
        <v>14</v>
      </c>
      <c r="C100">
        <v>9.2211613596405555E-3</v>
      </c>
      <c r="D100" s="8">
        <f>'[2]Total lbs'!B18*C100</f>
        <v>2778.7479961004387</v>
      </c>
      <c r="E100" s="8">
        <v>2778.7479961004387</v>
      </c>
      <c r="F100" s="8">
        <f t="shared" si="1"/>
        <v>1260.203172834666</v>
      </c>
      <c r="G100" s="9">
        <v>3.4</v>
      </c>
    </row>
    <row r="101" spans="1:7" x14ac:dyDescent="0.2">
      <c r="A101">
        <v>2021</v>
      </c>
      <c r="B101" s="10" t="s">
        <v>15</v>
      </c>
      <c r="C101">
        <v>0.14533885198932084</v>
      </c>
      <c r="D101" s="8">
        <f>'[2]Total lbs'!B18*C101</f>
        <v>43797.091057151418</v>
      </c>
      <c r="E101" s="8">
        <v>43797.091057151418</v>
      </c>
      <c r="F101" s="8">
        <f t="shared" si="1"/>
        <v>19862.626329773884</v>
      </c>
      <c r="G101" s="9">
        <v>3.4</v>
      </c>
    </row>
    <row r="102" spans="1:7" x14ac:dyDescent="0.2">
      <c r="A102">
        <v>2021</v>
      </c>
      <c r="B102" s="10" t="s">
        <v>16</v>
      </c>
      <c r="C102">
        <v>7.9009165201536752E-2</v>
      </c>
      <c r="D102" s="8">
        <f>'[2]Total lbs'!B18*C102</f>
        <v>23808.992264060846</v>
      </c>
      <c r="E102" s="8">
        <v>23808.992264060846</v>
      </c>
      <c r="F102" s="8">
        <f t="shared" si="1"/>
        <v>10797.728917941426</v>
      </c>
      <c r="G102" s="9">
        <v>3.4</v>
      </c>
    </row>
    <row r="103" spans="1:7" x14ac:dyDescent="0.2">
      <c r="A103">
        <v>2021</v>
      </c>
      <c r="B103" s="10" t="s">
        <v>17</v>
      </c>
      <c r="C103">
        <v>0.35995392980399815</v>
      </c>
      <c r="D103" s="8">
        <f>'[2]Total lbs'!B18*C103</f>
        <v>108470.20479536723</v>
      </c>
      <c r="E103" s="8">
        <v>108470.20479536723</v>
      </c>
      <c r="F103" s="8">
        <f t="shared" si="1"/>
        <v>49192.836641889902</v>
      </c>
      <c r="G103" s="9">
        <v>3.4</v>
      </c>
    </row>
    <row r="104" spans="1:7" x14ac:dyDescent="0.2">
      <c r="A104">
        <v>2022</v>
      </c>
      <c r="B104" s="10" t="s">
        <v>12</v>
      </c>
      <c r="C104">
        <v>0.3267351614898743</v>
      </c>
      <c r="D104" s="8">
        <f>'[2]Total lbs'!B19*C104</f>
        <v>47401.718323401976</v>
      </c>
      <c r="E104" s="8">
        <v>47401.718323401976</v>
      </c>
      <c r="F104" s="8">
        <f t="shared" si="1"/>
        <v>21497.37792444534</v>
      </c>
      <c r="G104" s="9">
        <v>3.4</v>
      </c>
    </row>
    <row r="105" spans="1:7" x14ac:dyDescent="0.2">
      <c r="A105">
        <v>2022</v>
      </c>
      <c r="B105" s="10" t="s">
        <v>13</v>
      </c>
      <c r="C105">
        <v>7.9741730155629353E-2</v>
      </c>
      <c r="D105" s="8">
        <f>'[2]Total lbs'!B19*C105</f>
        <v>11568.681540798947</v>
      </c>
      <c r="E105" s="8">
        <v>11568.681540798947</v>
      </c>
      <c r="F105" s="8">
        <f t="shared" si="1"/>
        <v>5246.5675921990687</v>
      </c>
      <c r="G105" s="9">
        <v>3.4</v>
      </c>
    </row>
    <row r="106" spans="1:7" x14ac:dyDescent="0.2">
      <c r="A106">
        <v>2022</v>
      </c>
      <c r="B106" s="10" t="s">
        <v>14</v>
      </c>
      <c r="C106">
        <v>9.2211613596405555E-3</v>
      </c>
      <c r="D106" s="8">
        <f>'[2]Total lbs'!B19*C106</f>
        <v>1337.7773343744209</v>
      </c>
      <c r="E106" s="8">
        <v>1337.7773343744209</v>
      </c>
      <c r="F106" s="8">
        <f t="shared" si="1"/>
        <v>606.70173894531558</v>
      </c>
      <c r="G106" s="9">
        <v>3.4</v>
      </c>
    </row>
    <row r="107" spans="1:7" x14ac:dyDescent="0.2">
      <c r="A107">
        <v>2022</v>
      </c>
      <c r="B107" s="10" t="s">
        <v>15</v>
      </c>
      <c r="C107">
        <v>0.14533885198932084</v>
      </c>
      <c r="D107" s="8">
        <f>'[2]Total lbs'!B19*C107</f>
        <v>21085.307415430711</v>
      </c>
      <c r="E107" s="8">
        <v>21085.307415430711</v>
      </c>
      <c r="F107" s="8">
        <f t="shared" si="1"/>
        <v>9562.4976940728848</v>
      </c>
      <c r="G107" s="9">
        <v>3.4</v>
      </c>
    </row>
    <row r="108" spans="1:7" x14ac:dyDescent="0.2">
      <c r="A108">
        <v>2022</v>
      </c>
      <c r="B108" s="10" t="s">
        <v>16</v>
      </c>
      <c r="C108">
        <v>7.9009165201536752E-2</v>
      </c>
      <c r="D108" s="8">
        <f>'[2]Total lbs'!B19*C108</f>
        <v>11462.403301722528</v>
      </c>
      <c r="E108" s="8">
        <v>11462.403301722528</v>
      </c>
      <c r="F108" s="8">
        <f t="shared" si="1"/>
        <v>5198.3688443186065</v>
      </c>
      <c r="G108" s="9">
        <v>3.4</v>
      </c>
    </row>
    <row r="109" spans="1:7" x14ac:dyDescent="0.2">
      <c r="A109">
        <v>2022</v>
      </c>
      <c r="B109" s="10" t="s">
        <v>17</v>
      </c>
      <c r="C109">
        <v>0.35995392980399815</v>
      </c>
      <c r="D109" s="8">
        <f>'[2]Total lbs'!B19*C109</f>
        <v>52220.99363952141</v>
      </c>
      <c r="E109" s="8">
        <v>52220.99363952141</v>
      </c>
      <c r="F109" s="8">
        <f t="shared" si="1"/>
        <v>23682.990312708123</v>
      </c>
      <c r="G109" s="9">
        <v>3.4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42121-79FE-0A42-9AEB-52BCB5C886E5}">
  <dimension ref="A1:B5"/>
  <sheetViews>
    <sheetView workbookViewId="0">
      <selection activeCell="G25" sqref="G25"/>
    </sheetView>
  </sheetViews>
  <sheetFormatPr baseColWidth="10" defaultRowHeight="16" x14ac:dyDescent="0.2"/>
  <cols>
    <col min="2" max="2" width="10.83203125" style="12"/>
  </cols>
  <sheetData>
    <row r="1" spans="1:2" x14ac:dyDescent="0.2">
      <c r="B1" s="11" t="s">
        <v>18</v>
      </c>
    </row>
    <row r="2" spans="1:2" x14ac:dyDescent="0.2">
      <c r="A2" s="7" t="s">
        <v>19</v>
      </c>
      <c r="B2" s="12">
        <v>7.77</v>
      </c>
    </row>
    <row r="3" spans="1:2" x14ac:dyDescent="0.2">
      <c r="A3" s="7" t="s">
        <v>20</v>
      </c>
      <c r="B3" s="12">
        <v>5.41</v>
      </c>
    </row>
    <row r="4" spans="1:2" x14ac:dyDescent="0.2">
      <c r="A4" s="7" t="s">
        <v>21</v>
      </c>
      <c r="B4" s="12">
        <v>3.93</v>
      </c>
    </row>
    <row r="5" spans="1:2" x14ac:dyDescent="0.2">
      <c r="A5" s="7" t="s">
        <v>22</v>
      </c>
      <c r="B5" s="12">
        <v>3.56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8500-2115-324A-B4A9-17F60483CA68}">
  <dimension ref="A1:F11"/>
  <sheetViews>
    <sheetView workbookViewId="0">
      <selection activeCell="D16" sqref="D16"/>
    </sheetView>
  </sheetViews>
  <sheetFormatPr baseColWidth="10" defaultRowHeight="16" x14ac:dyDescent="0.2"/>
  <sheetData>
    <row r="1" spans="1:6" x14ac:dyDescent="0.2">
      <c r="A1" s="7" t="s">
        <v>34</v>
      </c>
      <c r="B1" s="13" t="s">
        <v>28</v>
      </c>
      <c r="C1" s="13" t="s">
        <v>29</v>
      </c>
      <c r="D1" s="13" t="s">
        <v>30</v>
      </c>
      <c r="E1" s="13" t="s">
        <v>31</v>
      </c>
      <c r="F1" s="13" t="s">
        <v>32</v>
      </c>
    </row>
    <row r="2" spans="1:6" x14ac:dyDescent="0.2">
      <c r="A2" t="s">
        <v>19</v>
      </c>
      <c r="B2" s="13">
        <v>0.17645164838484609</v>
      </c>
      <c r="C2" s="13">
        <v>0.21785276536038889</v>
      </c>
      <c r="D2" s="13">
        <v>0.15579156116400769</v>
      </c>
      <c r="E2" s="13">
        <v>0.15579156116400769</v>
      </c>
      <c r="F2" s="13">
        <v>0.13532267886887681</v>
      </c>
    </row>
    <row r="3" spans="1:6" x14ac:dyDescent="0.2">
      <c r="A3" t="s">
        <v>20</v>
      </c>
      <c r="B3" s="13">
        <v>6.556440727272296E-2</v>
      </c>
      <c r="C3" s="13">
        <v>8.7151925612264439E-2</v>
      </c>
      <c r="D3" s="13">
        <v>0.22319309390284495</v>
      </c>
      <c r="E3" s="13">
        <v>0.22319309390284495</v>
      </c>
      <c r="F3" s="13">
        <v>9.2188580865474018E-2</v>
      </c>
    </row>
    <row r="4" spans="1:6" x14ac:dyDescent="0.2">
      <c r="A4" t="s">
        <v>21</v>
      </c>
      <c r="B4" s="13">
        <v>0.10710803985946092</v>
      </c>
      <c r="C4" s="13">
        <v>0.20540925607257052</v>
      </c>
      <c r="D4" s="13">
        <v>0.1581743991341627</v>
      </c>
      <c r="E4" s="13">
        <v>0.1581743991341627</v>
      </c>
      <c r="F4" s="13">
        <v>0.12329106851239416</v>
      </c>
    </row>
    <row r="5" spans="1:6" x14ac:dyDescent="0.2">
      <c r="A5" t="s">
        <v>22</v>
      </c>
      <c r="B5" s="13">
        <v>0.52764424655998388</v>
      </c>
      <c r="C5" s="13">
        <v>1.1672823232932608</v>
      </c>
      <c r="D5" s="13">
        <v>0.68819790603384356</v>
      </c>
      <c r="E5" s="13">
        <v>0.68819790603384356</v>
      </c>
      <c r="F5" s="13">
        <v>0.77289948682243326</v>
      </c>
    </row>
    <row r="7" spans="1:6" x14ac:dyDescent="0.2">
      <c r="A7" s="7" t="s">
        <v>33</v>
      </c>
      <c r="B7" s="13" t="str">
        <f>'[3]Cost calcs'!JP33</f>
        <v>Kauai</v>
      </c>
      <c r="C7" s="13" t="str">
        <f>'[3]Cost calcs'!JQ33</f>
        <v>Oahu</v>
      </c>
      <c r="D7" s="13" t="str">
        <f>'[3]Cost calcs'!JR33</f>
        <v>Molokai</v>
      </c>
      <c r="E7" s="13" t="str">
        <f>'[3]Cost calcs'!JS33</f>
        <v>Maui</v>
      </c>
      <c r="F7" s="13" t="str">
        <f>'[3]Cost calcs'!JT33</f>
        <v>Hawaii</v>
      </c>
    </row>
    <row r="8" spans="1:6" x14ac:dyDescent="0.2">
      <c r="A8" t="s">
        <v>19</v>
      </c>
      <c r="B8" s="13">
        <f>'[3]Cost calcs'!JP35</f>
        <v>0.17645164838484609</v>
      </c>
      <c r="C8" s="13">
        <f>'[3]Cost calcs'!JQ35</f>
        <v>0.21785276536038889</v>
      </c>
      <c r="D8" s="13">
        <f>'[3]Cost calcs'!JR35</f>
        <v>0.15579156116400769</v>
      </c>
      <c r="E8" s="13">
        <f>'[3]Cost calcs'!JS35</f>
        <v>0.15579156116400769</v>
      </c>
      <c r="F8" s="13">
        <f>'[3]Cost calcs'!JT35</f>
        <v>0.13532267886887681</v>
      </c>
    </row>
    <row r="9" spans="1:6" x14ac:dyDescent="0.2">
      <c r="A9" t="s">
        <v>20</v>
      </c>
      <c r="B9" s="13">
        <f>'[3]Cost calcs'!JP36</f>
        <v>6.556440727272296E-2</v>
      </c>
      <c r="C9" s="13">
        <f>'[3]Cost calcs'!JQ36</f>
        <v>8.7151925612264439E-2</v>
      </c>
      <c r="D9" s="13">
        <f>'[3]Cost calcs'!JR36</f>
        <v>0.22319309390284495</v>
      </c>
      <c r="E9" s="13">
        <f>'[3]Cost calcs'!JS36</f>
        <v>0.22319309390284495</v>
      </c>
      <c r="F9" s="13">
        <f>'[3]Cost calcs'!JT36</f>
        <v>9.2188580865474018E-2</v>
      </c>
    </row>
    <row r="10" spans="1:6" x14ac:dyDescent="0.2">
      <c r="A10" t="s">
        <v>21</v>
      </c>
      <c r="B10" s="13">
        <f>'[3]Cost calcs'!JP37</f>
        <v>0.10710803985946092</v>
      </c>
      <c r="C10" s="13">
        <f>'[3]Cost calcs'!JQ37</f>
        <v>0.20540925607257052</v>
      </c>
      <c r="D10" s="13">
        <f>'[3]Cost calcs'!JR37</f>
        <v>0.1581743991341627</v>
      </c>
      <c r="E10" s="13">
        <f>'[3]Cost calcs'!JS37</f>
        <v>0.1581743991341627</v>
      </c>
      <c r="F10" s="13">
        <f>'[3]Cost calcs'!JT37</f>
        <v>0.12329106851239416</v>
      </c>
    </row>
    <row r="11" spans="1:6" x14ac:dyDescent="0.2">
      <c r="A11" t="s">
        <v>22</v>
      </c>
      <c r="B11" s="13">
        <f>'[3]Cost calcs'!JP34</f>
        <v>0.52764424655998388</v>
      </c>
      <c r="C11" s="13">
        <f>'[3]Cost calcs'!JQ34</f>
        <v>1.1672823232932608</v>
      </c>
      <c r="D11" s="13">
        <f>'[3]Cost calcs'!JR34</f>
        <v>0.68819790603384356</v>
      </c>
      <c r="E11" s="13">
        <f>'[3]Cost calcs'!JS34</f>
        <v>0.68819790603384356</v>
      </c>
      <c r="F11" s="13">
        <f>'[3]Cost calcs'!JT34</f>
        <v>0.77289948682243326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FF515-8639-6B4A-B3A9-8F9BEAA0BD8B}">
  <dimension ref="A1:B5"/>
  <sheetViews>
    <sheetView workbookViewId="0">
      <selection activeCell="B2" sqref="B2"/>
    </sheetView>
  </sheetViews>
  <sheetFormatPr baseColWidth="10" defaultRowHeight="16" x14ac:dyDescent="0.2"/>
  <cols>
    <col min="1" max="1" width="10.83203125" style="7"/>
    <col min="2" max="2" width="10.83203125" style="12"/>
  </cols>
  <sheetData>
    <row r="1" spans="1:2" x14ac:dyDescent="0.2">
      <c r="B1" s="11" t="s">
        <v>35</v>
      </c>
    </row>
    <row r="2" spans="1:2" x14ac:dyDescent="0.2">
      <c r="A2" s="7" t="s">
        <v>19</v>
      </c>
      <c r="B2" s="12">
        <v>3.72</v>
      </c>
    </row>
    <row r="3" spans="1:2" x14ac:dyDescent="0.2">
      <c r="A3" s="7" t="s">
        <v>20</v>
      </c>
      <c r="B3" s="12">
        <v>1.64</v>
      </c>
    </row>
    <row r="4" spans="1:2" x14ac:dyDescent="0.2">
      <c r="A4" s="7" t="s">
        <v>21</v>
      </c>
      <c r="B4" s="12">
        <v>0.95</v>
      </c>
    </row>
    <row r="5" spans="1:2" x14ac:dyDescent="0.2">
      <c r="A5" s="7" t="s">
        <v>22</v>
      </c>
      <c r="B5" s="12">
        <v>1.76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6831D-2861-5843-96A0-125D8450FA59}">
  <dimension ref="A1:D2076"/>
  <sheetViews>
    <sheetView workbookViewId="0">
      <selection activeCell="H18" sqref="H18"/>
    </sheetView>
  </sheetViews>
  <sheetFormatPr baseColWidth="10" defaultRowHeight="16" x14ac:dyDescent="0.2"/>
  <cols>
    <col min="3" max="3" width="14.6640625" bestFit="1" customWidth="1"/>
    <col min="4" max="4" width="18.83203125" bestFit="1" customWidth="1"/>
  </cols>
  <sheetData>
    <row r="1" spans="1:4" s="7" customFormat="1" x14ac:dyDescent="0.2">
      <c r="A1" s="14" t="s">
        <v>0</v>
      </c>
      <c r="B1" s="14" t="s">
        <v>1</v>
      </c>
      <c r="C1" s="7" t="s">
        <v>23</v>
      </c>
      <c r="D1" s="7" t="s">
        <v>24</v>
      </c>
    </row>
    <row r="2" spans="1:4" x14ac:dyDescent="0.2">
      <c r="A2">
        <v>2021</v>
      </c>
      <c r="B2">
        <v>100</v>
      </c>
      <c r="C2">
        <v>0.27553735926305023</v>
      </c>
      <c r="D2">
        <v>0.72446264073694977</v>
      </c>
    </row>
    <row r="3" spans="1:4" x14ac:dyDescent="0.2">
      <c r="A3">
        <v>2020</v>
      </c>
      <c r="B3">
        <v>100</v>
      </c>
      <c r="C3" t="s">
        <v>25</v>
      </c>
      <c r="D3" t="s">
        <v>25</v>
      </c>
    </row>
    <row r="4" spans="1:4" x14ac:dyDescent="0.2">
      <c r="A4">
        <v>2019</v>
      </c>
      <c r="B4">
        <v>100</v>
      </c>
      <c r="C4">
        <v>0.60366972477064229</v>
      </c>
      <c r="D4">
        <v>0.39633027522935771</v>
      </c>
    </row>
    <row r="5" spans="1:4" x14ac:dyDescent="0.2">
      <c r="A5">
        <v>2018</v>
      </c>
      <c r="B5">
        <v>100</v>
      </c>
      <c r="C5" t="s">
        <v>25</v>
      </c>
      <c r="D5" t="s">
        <v>25</v>
      </c>
    </row>
    <row r="6" spans="1:4" x14ac:dyDescent="0.2">
      <c r="A6">
        <v>2017</v>
      </c>
      <c r="B6">
        <v>100</v>
      </c>
      <c r="C6">
        <v>0.55554026152787339</v>
      </c>
      <c r="D6">
        <v>0.44445973847212661</v>
      </c>
    </row>
    <row r="7" spans="1:4" x14ac:dyDescent="0.2">
      <c r="A7">
        <v>2016</v>
      </c>
      <c r="B7">
        <v>100</v>
      </c>
      <c r="C7">
        <v>0.44713278719756144</v>
      </c>
      <c r="D7">
        <v>0.55286721280243856</v>
      </c>
    </row>
    <row r="8" spans="1:4" x14ac:dyDescent="0.2">
      <c r="A8">
        <v>2015</v>
      </c>
      <c r="B8">
        <v>100</v>
      </c>
      <c r="C8">
        <v>0.47493765586034914</v>
      </c>
      <c r="D8">
        <v>0.52506234413965092</v>
      </c>
    </row>
    <row r="9" spans="1:4" x14ac:dyDescent="0.2">
      <c r="A9">
        <v>2014</v>
      </c>
      <c r="B9">
        <v>100</v>
      </c>
      <c r="C9">
        <v>0.42075471698113215</v>
      </c>
      <c r="D9">
        <v>0.57924528301886791</v>
      </c>
    </row>
    <row r="10" spans="1:4" x14ac:dyDescent="0.2">
      <c r="A10">
        <v>2013</v>
      </c>
      <c r="B10">
        <v>100</v>
      </c>
      <c r="C10">
        <v>0.35734107776702162</v>
      </c>
      <c r="D10">
        <v>0.64265892223297838</v>
      </c>
    </row>
    <row r="11" spans="1:4" x14ac:dyDescent="0.2">
      <c r="A11">
        <v>2012</v>
      </c>
      <c r="B11">
        <v>100</v>
      </c>
      <c r="C11">
        <v>0.6919251957089011</v>
      </c>
      <c r="D11">
        <v>0.3080748042910989</v>
      </c>
    </row>
    <row r="12" spans="1:4" x14ac:dyDescent="0.2">
      <c r="A12">
        <v>2011</v>
      </c>
      <c r="B12">
        <v>100</v>
      </c>
      <c r="C12">
        <v>0.58683487638620402</v>
      </c>
      <c r="D12">
        <v>0.41316512361379598</v>
      </c>
    </row>
    <row r="13" spans="1:4" x14ac:dyDescent="0.2">
      <c r="A13">
        <v>2010</v>
      </c>
      <c r="B13">
        <v>100</v>
      </c>
      <c r="C13">
        <v>0.55157182650218861</v>
      </c>
      <c r="D13">
        <v>0.44842817349781139</v>
      </c>
    </row>
    <row r="14" spans="1:4" x14ac:dyDescent="0.2">
      <c r="A14">
        <v>2009</v>
      </c>
      <c r="B14">
        <v>100</v>
      </c>
      <c r="C14">
        <v>0.53909038572251011</v>
      </c>
      <c r="D14">
        <v>0.46090961427748989</v>
      </c>
    </row>
    <row r="15" spans="1:4" x14ac:dyDescent="0.2">
      <c r="A15">
        <v>2008</v>
      </c>
      <c r="B15">
        <v>100</v>
      </c>
      <c r="C15">
        <v>0.48820960698689958</v>
      </c>
      <c r="D15">
        <v>0.51179039301310048</v>
      </c>
    </row>
    <row r="16" spans="1:4" x14ac:dyDescent="0.2">
      <c r="A16">
        <v>2007</v>
      </c>
      <c r="B16">
        <v>100</v>
      </c>
      <c r="C16">
        <v>0.27049130302105584</v>
      </c>
      <c r="D16">
        <v>0.72950869697894416</v>
      </c>
    </row>
    <row r="17" spans="1:4" x14ac:dyDescent="0.2">
      <c r="A17">
        <v>2006</v>
      </c>
      <c r="B17">
        <v>100</v>
      </c>
      <c r="C17" t="s">
        <v>25</v>
      </c>
      <c r="D17" t="s">
        <v>25</v>
      </c>
    </row>
    <row r="18" spans="1:4" x14ac:dyDescent="0.2">
      <c r="A18">
        <v>2005</v>
      </c>
      <c r="B18">
        <v>100</v>
      </c>
      <c r="C18" t="s">
        <v>25</v>
      </c>
      <c r="D18" t="s">
        <v>25</v>
      </c>
    </row>
    <row r="19" spans="1:4" x14ac:dyDescent="0.2">
      <c r="A19">
        <v>2004</v>
      </c>
      <c r="B19">
        <v>100</v>
      </c>
      <c r="C19" t="s">
        <v>25</v>
      </c>
      <c r="D19" t="s">
        <v>25</v>
      </c>
    </row>
    <row r="20" spans="1:4" x14ac:dyDescent="0.2">
      <c r="A20">
        <v>2003</v>
      </c>
      <c r="B20">
        <v>100</v>
      </c>
      <c r="C20" t="s">
        <v>25</v>
      </c>
      <c r="D20" t="s">
        <v>25</v>
      </c>
    </row>
    <row r="21" spans="1:4" x14ac:dyDescent="0.2">
      <c r="A21">
        <v>2002</v>
      </c>
      <c r="B21">
        <v>100</v>
      </c>
      <c r="C21">
        <v>0.68666666666666676</v>
      </c>
      <c r="D21">
        <v>0.31333333333333324</v>
      </c>
    </row>
    <row r="22" spans="1:4" x14ac:dyDescent="0.2">
      <c r="A22">
        <v>2001</v>
      </c>
      <c r="B22">
        <v>100</v>
      </c>
      <c r="C22">
        <v>0.68547008547008559</v>
      </c>
      <c r="D22">
        <v>0.31452991452991441</v>
      </c>
    </row>
    <row r="23" spans="1:4" x14ac:dyDescent="0.2">
      <c r="A23">
        <v>2000</v>
      </c>
      <c r="B23">
        <v>100</v>
      </c>
      <c r="C23" t="s">
        <v>25</v>
      </c>
      <c r="D23" t="s">
        <v>25</v>
      </c>
    </row>
    <row r="24" spans="1:4" x14ac:dyDescent="0.2">
      <c r="A24">
        <v>1999</v>
      </c>
      <c r="B24">
        <v>100</v>
      </c>
      <c r="C24" t="s">
        <v>25</v>
      </c>
      <c r="D24" t="s">
        <v>25</v>
      </c>
    </row>
    <row r="25" spans="1:4" x14ac:dyDescent="0.2">
      <c r="A25">
        <v>1998</v>
      </c>
      <c r="B25">
        <v>100</v>
      </c>
      <c r="C25">
        <v>0.70373944511459596</v>
      </c>
      <c r="D25">
        <v>0.29626055488540404</v>
      </c>
    </row>
    <row r="26" spans="1:4" x14ac:dyDescent="0.2">
      <c r="A26">
        <v>1997</v>
      </c>
      <c r="B26">
        <v>100</v>
      </c>
      <c r="C26">
        <v>0.70305171859942184</v>
      </c>
      <c r="D26">
        <v>0.29694828140057816</v>
      </c>
    </row>
    <row r="27" spans="1:4" x14ac:dyDescent="0.2">
      <c r="A27">
        <v>2021</v>
      </c>
      <c r="B27">
        <v>101</v>
      </c>
      <c r="C27">
        <v>0.3912879034887512</v>
      </c>
      <c r="D27">
        <v>0.6087120965112488</v>
      </c>
    </row>
    <row r="28" spans="1:4" x14ac:dyDescent="0.2">
      <c r="A28">
        <v>2020</v>
      </c>
      <c r="B28">
        <v>101</v>
      </c>
      <c r="C28">
        <v>0.46923856525954</v>
      </c>
      <c r="D28">
        <v>0.53076143474046</v>
      </c>
    </row>
    <row r="29" spans="1:4" x14ac:dyDescent="0.2">
      <c r="A29">
        <v>2019</v>
      </c>
      <c r="B29">
        <v>101</v>
      </c>
      <c r="C29">
        <v>0.50068189197965152</v>
      </c>
      <c r="D29">
        <v>0.49931810802034848</v>
      </c>
    </row>
    <row r="30" spans="1:4" x14ac:dyDescent="0.2">
      <c r="A30">
        <v>2018</v>
      </c>
      <c r="B30">
        <v>101</v>
      </c>
      <c r="C30">
        <v>0.61382136352838701</v>
      </c>
      <c r="D30">
        <v>0.38617863647161299</v>
      </c>
    </row>
    <row r="31" spans="1:4" x14ac:dyDescent="0.2">
      <c r="A31">
        <v>2017</v>
      </c>
      <c r="B31">
        <v>101</v>
      </c>
      <c r="C31">
        <v>0.51847940258133207</v>
      </c>
      <c r="D31">
        <v>0.48152059741866793</v>
      </c>
    </row>
    <row r="32" spans="1:4" x14ac:dyDescent="0.2">
      <c r="A32">
        <v>2016</v>
      </c>
      <c r="B32">
        <v>101</v>
      </c>
      <c r="C32">
        <v>0.55713533068736598</v>
      </c>
      <c r="D32">
        <v>0.44286466931263402</v>
      </c>
    </row>
    <row r="33" spans="1:4" x14ac:dyDescent="0.2">
      <c r="A33">
        <v>2015</v>
      </c>
      <c r="B33">
        <v>101</v>
      </c>
      <c r="C33">
        <v>0.55064316018999004</v>
      </c>
      <c r="D33">
        <v>0.44935683981000996</v>
      </c>
    </row>
    <row r="34" spans="1:4" x14ac:dyDescent="0.2">
      <c r="A34">
        <v>2014</v>
      </c>
      <c r="B34">
        <v>101</v>
      </c>
      <c r="C34">
        <v>0.48254310344827589</v>
      </c>
      <c r="D34">
        <v>0.51745689655172411</v>
      </c>
    </row>
    <row r="35" spans="1:4" x14ac:dyDescent="0.2">
      <c r="A35">
        <v>2013</v>
      </c>
      <c r="B35">
        <v>101</v>
      </c>
      <c r="C35">
        <v>0.42574685115870747</v>
      </c>
      <c r="D35">
        <v>0.57425314884129253</v>
      </c>
    </row>
    <row r="36" spans="1:4" x14ac:dyDescent="0.2">
      <c r="A36">
        <v>2012</v>
      </c>
      <c r="B36">
        <v>101</v>
      </c>
      <c r="C36">
        <v>0.48278252049699949</v>
      </c>
      <c r="D36">
        <v>0.51721747950300045</v>
      </c>
    </row>
    <row r="37" spans="1:4" x14ac:dyDescent="0.2">
      <c r="A37">
        <v>2011</v>
      </c>
      <c r="B37">
        <v>101</v>
      </c>
      <c r="C37">
        <v>0.54652747969713089</v>
      </c>
      <c r="D37">
        <v>0.45347252030286911</v>
      </c>
    </row>
    <row r="38" spans="1:4" x14ac:dyDescent="0.2">
      <c r="A38">
        <v>2010</v>
      </c>
      <c r="B38">
        <v>101</v>
      </c>
      <c r="C38">
        <v>0.36258980148374043</v>
      </c>
      <c r="D38">
        <v>0.63741019851625957</v>
      </c>
    </row>
    <row r="39" spans="1:4" x14ac:dyDescent="0.2">
      <c r="A39">
        <v>2009</v>
      </c>
      <c r="B39">
        <v>101</v>
      </c>
      <c r="C39">
        <v>0.36140733772342426</v>
      </c>
      <c r="D39">
        <v>0.63859266227657574</v>
      </c>
    </row>
    <row r="40" spans="1:4" x14ac:dyDescent="0.2">
      <c r="A40">
        <v>2008</v>
      </c>
      <c r="B40">
        <v>101</v>
      </c>
      <c r="C40">
        <v>0.51420824920680697</v>
      </c>
      <c r="D40">
        <v>0.48579175079319303</v>
      </c>
    </row>
    <row r="41" spans="1:4" x14ac:dyDescent="0.2">
      <c r="A41">
        <v>2007</v>
      </c>
      <c r="B41">
        <v>101</v>
      </c>
      <c r="C41">
        <v>0.33013861722935622</v>
      </c>
      <c r="D41">
        <v>0.66986138277064378</v>
      </c>
    </row>
    <row r="42" spans="1:4" x14ac:dyDescent="0.2">
      <c r="A42">
        <v>2006</v>
      </c>
      <c r="B42">
        <v>101</v>
      </c>
      <c r="C42">
        <v>0.40782280867106502</v>
      </c>
      <c r="D42">
        <v>0.59217719132893498</v>
      </c>
    </row>
    <row r="43" spans="1:4" x14ac:dyDescent="0.2">
      <c r="A43">
        <v>2005</v>
      </c>
      <c r="B43">
        <v>101</v>
      </c>
      <c r="C43">
        <v>0.66659199103892475</v>
      </c>
      <c r="D43">
        <v>0.33340800896107525</v>
      </c>
    </row>
    <row r="44" spans="1:4" x14ac:dyDescent="0.2">
      <c r="A44">
        <v>2004</v>
      </c>
      <c r="B44">
        <v>101</v>
      </c>
      <c r="C44">
        <v>0.56872883964296705</v>
      </c>
      <c r="D44">
        <v>0.43127116035703295</v>
      </c>
    </row>
    <row r="45" spans="1:4" x14ac:dyDescent="0.2">
      <c r="A45">
        <v>2003</v>
      </c>
      <c r="B45">
        <v>101</v>
      </c>
      <c r="C45">
        <v>0.56363636363636371</v>
      </c>
      <c r="D45">
        <v>0.43636363636363629</v>
      </c>
    </row>
    <row r="46" spans="1:4" x14ac:dyDescent="0.2">
      <c r="A46">
        <v>2002</v>
      </c>
      <c r="B46">
        <v>101</v>
      </c>
      <c r="C46">
        <v>0.52278940993251433</v>
      </c>
      <c r="D46">
        <v>0.47721059006748567</v>
      </c>
    </row>
    <row r="47" spans="1:4" x14ac:dyDescent="0.2">
      <c r="A47">
        <v>2001</v>
      </c>
      <c r="B47">
        <v>101</v>
      </c>
      <c r="C47">
        <v>0.52727272727272723</v>
      </c>
      <c r="D47">
        <v>0.47272727272727277</v>
      </c>
    </row>
    <row r="48" spans="1:4" x14ac:dyDescent="0.2">
      <c r="A48">
        <v>2000</v>
      </c>
      <c r="B48">
        <v>101</v>
      </c>
      <c r="C48">
        <v>0.60115364446775033</v>
      </c>
      <c r="D48">
        <v>0.39884635553224967</v>
      </c>
    </row>
    <row r="49" spans="1:4" x14ac:dyDescent="0.2">
      <c r="A49">
        <v>1999</v>
      </c>
      <c r="B49">
        <v>101</v>
      </c>
      <c r="C49">
        <v>0.58525641025641029</v>
      </c>
      <c r="D49">
        <v>0.41474358974358971</v>
      </c>
    </row>
    <row r="50" spans="1:4" x14ac:dyDescent="0.2">
      <c r="A50">
        <v>1998</v>
      </c>
      <c r="B50">
        <v>101</v>
      </c>
      <c r="C50">
        <v>0.57522274077216795</v>
      </c>
      <c r="D50">
        <v>0.42477725922783205</v>
      </c>
    </row>
    <row r="51" spans="1:4" x14ac:dyDescent="0.2">
      <c r="A51">
        <v>1997</v>
      </c>
      <c r="B51">
        <v>101</v>
      </c>
      <c r="C51">
        <v>0.6031141868512111</v>
      </c>
      <c r="D51">
        <v>0.3968858131487889</v>
      </c>
    </row>
    <row r="52" spans="1:4" x14ac:dyDescent="0.2">
      <c r="A52">
        <v>2021</v>
      </c>
      <c r="B52">
        <v>102</v>
      </c>
      <c r="C52">
        <v>0.29060360548895336</v>
      </c>
      <c r="D52">
        <v>0.70939639451104664</v>
      </c>
    </row>
    <row r="53" spans="1:4" x14ac:dyDescent="0.2">
      <c r="A53">
        <v>2020</v>
      </c>
      <c r="B53">
        <v>102</v>
      </c>
      <c r="C53">
        <v>0.31219549214540487</v>
      </c>
      <c r="D53">
        <v>0.68780450785459513</v>
      </c>
    </row>
    <row r="54" spans="1:4" x14ac:dyDescent="0.2">
      <c r="A54">
        <v>2019</v>
      </c>
      <c r="B54">
        <v>102</v>
      </c>
      <c r="C54">
        <v>0.41966690803765389</v>
      </c>
      <c r="D54">
        <v>0.58033309196234617</v>
      </c>
    </row>
    <row r="55" spans="1:4" x14ac:dyDescent="0.2">
      <c r="A55">
        <v>2018</v>
      </c>
      <c r="B55">
        <v>102</v>
      </c>
      <c r="C55">
        <v>0.50208012326656393</v>
      </c>
      <c r="D55">
        <v>0.49791987673343607</v>
      </c>
    </row>
    <row r="56" spans="1:4" x14ac:dyDescent="0.2">
      <c r="A56">
        <v>2017</v>
      </c>
      <c r="B56">
        <v>102</v>
      </c>
      <c r="C56">
        <v>0.3624795014758937</v>
      </c>
      <c r="D56">
        <v>0.6375204985241063</v>
      </c>
    </row>
    <row r="57" spans="1:4" x14ac:dyDescent="0.2">
      <c r="A57">
        <v>2016</v>
      </c>
      <c r="B57">
        <v>102</v>
      </c>
      <c r="C57">
        <v>0.48211378854095666</v>
      </c>
      <c r="D57">
        <v>0.51788621145904334</v>
      </c>
    </row>
    <row r="58" spans="1:4" x14ac:dyDescent="0.2">
      <c r="A58">
        <v>2015</v>
      </c>
      <c r="B58">
        <v>102</v>
      </c>
      <c r="C58">
        <v>0.29825381066401913</v>
      </c>
      <c r="D58">
        <v>0.70174618933598087</v>
      </c>
    </row>
    <row r="59" spans="1:4" x14ac:dyDescent="0.2">
      <c r="A59">
        <v>2014</v>
      </c>
      <c r="B59">
        <v>102</v>
      </c>
      <c r="C59">
        <v>0.28647241476648999</v>
      </c>
      <c r="D59">
        <v>0.71352758523351001</v>
      </c>
    </row>
    <row r="60" spans="1:4" x14ac:dyDescent="0.2">
      <c r="A60">
        <v>2013</v>
      </c>
      <c r="B60">
        <v>102</v>
      </c>
      <c r="C60">
        <v>0.44311583990980835</v>
      </c>
      <c r="D60">
        <v>0.5568841600901917</v>
      </c>
    </row>
    <row r="61" spans="1:4" x14ac:dyDescent="0.2">
      <c r="A61">
        <v>2012</v>
      </c>
      <c r="B61">
        <v>102</v>
      </c>
      <c r="C61">
        <v>0.28710250839423268</v>
      </c>
      <c r="D61">
        <v>0.71289749160576732</v>
      </c>
    </row>
    <row r="62" spans="1:4" x14ac:dyDescent="0.2">
      <c r="A62">
        <v>2011</v>
      </c>
      <c r="B62">
        <v>102</v>
      </c>
      <c r="C62">
        <v>0.26464469062415563</v>
      </c>
      <c r="D62">
        <v>0.73535530937584437</v>
      </c>
    </row>
    <row r="63" spans="1:4" x14ac:dyDescent="0.2">
      <c r="A63">
        <v>2010</v>
      </c>
      <c r="B63">
        <v>102</v>
      </c>
      <c r="C63">
        <v>0.425849287694192</v>
      </c>
      <c r="D63">
        <v>0.57415071230580805</v>
      </c>
    </row>
    <row r="64" spans="1:4" x14ac:dyDescent="0.2">
      <c r="A64">
        <v>2009</v>
      </c>
      <c r="B64">
        <v>102</v>
      </c>
      <c r="C64">
        <v>0.35231727373217225</v>
      </c>
      <c r="D64">
        <v>0.64768272626782775</v>
      </c>
    </row>
    <row r="65" spans="1:4" x14ac:dyDescent="0.2">
      <c r="A65">
        <v>2008</v>
      </c>
      <c r="B65">
        <v>102</v>
      </c>
      <c r="C65">
        <v>0.3049493032084819</v>
      </c>
      <c r="D65">
        <v>0.6950506967915181</v>
      </c>
    </row>
    <row r="66" spans="1:4" x14ac:dyDescent="0.2">
      <c r="A66">
        <v>2007</v>
      </c>
      <c r="B66">
        <v>102</v>
      </c>
      <c r="C66">
        <v>0.31742917349566846</v>
      </c>
      <c r="D66">
        <v>0.68257082650433154</v>
      </c>
    </row>
    <row r="67" spans="1:4" x14ac:dyDescent="0.2">
      <c r="A67">
        <v>2006</v>
      </c>
      <c r="B67">
        <v>102</v>
      </c>
      <c r="C67">
        <v>0.36465696465696462</v>
      </c>
      <c r="D67">
        <v>0.63534303534303538</v>
      </c>
    </row>
    <row r="68" spans="1:4" x14ac:dyDescent="0.2">
      <c r="A68">
        <v>2005</v>
      </c>
      <c r="B68">
        <v>102</v>
      </c>
      <c r="C68">
        <v>0.37754947686877605</v>
      </c>
      <c r="D68">
        <v>0.62245052313122395</v>
      </c>
    </row>
    <row r="69" spans="1:4" x14ac:dyDescent="0.2">
      <c r="A69">
        <v>2004</v>
      </c>
      <c r="B69">
        <v>102</v>
      </c>
      <c r="C69">
        <v>0.37565910484365417</v>
      </c>
      <c r="D69">
        <v>0.62434089515634583</v>
      </c>
    </row>
    <row r="70" spans="1:4" x14ac:dyDescent="0.2">
      <c r="A70">
        <v>2003</v>
      </c>
      <c r="B70">
        <v>102</v>
      </c>
      <c r="C70">
        <v>0.35104599833663874</v>
      </c>
      <c r="D70">
        <v>0.64895400166336126</v>
      </c>
    </row>
    <row r="71" spans="1:4" x14ac:dyDescent="0.2">
      <c r="A71">
        <v>2002</v>
      </c>
      <c r="B71">
        <v>102</v>
      </c>
      <c r="C71">
        <v>0.34286743515850149</v>
      </c>
      <c r="D71">
        <v>0.65713256484149851</v>
      </c>
    </row>
    <row r="72" spans="1:4" x14ac:dyDescent="0.2">
      <c r="A72">
        <v>2001</v>
      </c>
      <c r="B72">
        <v>102</v>
      </c>
      <c r="C72">
        <v>0.34815905743740799</v>
      </c>
      <c r="D72">
        <v>0.65184094256259195</v>
      </c>
    </row>
    <row r="73" spans="1:4" x14ac:dyDescent="0.2">
      <c r="A73">
        <v>2000</v>
      </c>
      <c r="B73">
        <v>102</v>
      </c>
      <c r="C73">
        <v>0.444808743169399</v>
      </c>
      <c r="D73">
        <v>0.555191256830601</v>
      </c>
    </row>
    <row r="74" spans="1:4" x14ac:dyDescent="0.2">
      <c r="A74">
        <v>1999</v>
      </c>
      <c r="B74">
        <v>102</v>
      </c>
      <c r="C74">
        <v>0.67612903225806453</v>
      </c>
      <c r="D74">
        <v>0.32387096774193547</v>
      </c>
    </row>
    <row r="75" spans="1:4" x14ac:dyDescent="0.2">
      <c r="A75">
        <v>1998</v>
      </c>
      <c r="B75">
        <v>102</v>
      </c>
      <c r="C75">
        <v>0.44798643493005519</v>
      </c>
      <c r="D75">
        <v>0.55201356506994481</v>
      </c>
    </row>
    <row r="76" spans="1:4" x14ac:dyDescent="0.2">
      <c r="A76">
        <v>1997</v>
      </c>
      <c r="B76">
        <v>102</v>
      </c>
      <c r="C76">
        <v>0.51788896504455106</v>
      </c>
      <c r="D76">
        <v>0.48211103495544894</v>
      </c>
    </row>
    <row r="77" spans="1:4" x14ac:dyDescent="0.2">
      <c r="A77">
        <v>2021</v>
      </c>
      <c r="B77">
        <v>103</v>
      </c>
      <c r="C77" t="s">
        <v>25</v>
      </c>
      <c r="D77" t="s">
        <v>25</v>
      </c>
    </row>
    <row r="78" spans="1:4" x14ac:dyDescent="0.2">
      <c r="A78">
        <v>2020</v>
      </c>
      <c r="B78">
        <v>103</v>
      </c>
      <c r="C78">
        <v>0.21178655199374513</v>
      </c>
      <c r="D78">
        <v>0.78821344800625481</v>
      </c>
    </row>
    <row r="79" spans="1:4" x14ac:dyDescent="0.2">
      <c r="A79">
        <v>2019</v>
      </c>
      <c r="B79">
        <v>103</v>
      </c>
      <c r="C79" t="s">
        <v>25</v>
      </c>
      <c r="D79" t="s">
        <v>25</v>
      </c>
    </row>
    <row r="80" spans="1:4" x14ac:dyDescent="0.2">
      <c r="A80">
        <v>2018</v>
      </c>
      <c r="B80">
        <v>103</v>
      </c>
      <c r="C80" t="s">
        <v>25</v>
      </c>
      <c r="D80" t="s">
        <v>25</v>
      </c>
    </row>
    <row r="81" spans="1:4" x14ac:dyDescent="0.2">
      <c r="A81">
        <v>2017</v>
      </c>
      <c r="B81">
        <v>103</v>
      </c>
      <c r="C81" t="s">
        <v>25</v>
      </c>
      <c r="D81" t="s">
        <v>25</v>
      </c>
    </row>
    <row r="82" spans="1:4" x14ac:dyDescent="0.2">
      <c r="A82">
        <v>2016</v>
      </c>
      <c r="B82">
        <v>103</v>
      </c>
      <c r="C82" t="s">
        <v>25</v>
      </c>
      <c r="D82" t="s">
        <v>25</v>
      </c>
    </row>
    <row r="83" spans="1:4" x14ac:dyDescent="0.2">
      <c r="A83">
        <v>2015</v>
      </c>
      <c r="B83">
        <v>103</v>
      </c>
      <c r="C83" t="s">
        <v>25</v>
      </c>
      <c r="D83" t="s">
        <v>25</v>
      </c>
    </row>
    <row r="84" spans="1:4" x14ac:dyDescent="0.2">
      <c r="A84">
        <v>2014</v>
      </c>
      <c r="B84">
        <v>103</v>
      </c>
      <c r="C84">
        <v>0.34686567164179105</v>
      </c>
      <c r="D84">
        <v>0.65313432835820895</v>
      </c>
    </row>
    <row r="85" spans="1:4" x14ac:dyDescent="0.2">
      <c r="A85">
        <v>2013</v>
      </c>
      <c r="B85">
        <v>103</v>
      </c>
      <c r="C85">
        <v>0.62838254737769939</v>
      </c>
      <c r="D85">
        <v>0.37161745262230061</v>
      </c>
    </row>
    <row r="86" spans="1:4" x14ac:dyDescent="0.2">
      <c r="A86">
        <v>2012</v>
      </c>
      <c r="B86">
        <v>103</v>
      </c>
      <c r="C86">
        <v>0.6462695199537305</v>
      </c>
      <c r="D86">
        <v>0.3537304800462695</v>
      </c>
    </row>
    <row r="87" spans="1:4" x14ac:dyDescent="0.2">
      <c r="A87">
        <v>2011</v>
      </c>
      <c r="B87">
        <v>103</v>
      </c>
      <c r="C87" t="s">
        <v>25</v>
      </c>
      <c r="D87" t="s">
        <v>25</v>
      </c>
    </row>
    <row r="88" spans="1:4" x14ac:dyDescent="0.2">
      <c r="A88">
        <v>2010</v>
      </c>
      <c r="B88">
        <v>103</v>
      </c>
      <c r="C88" t="s">
        <v>25</v>
      </c>
      <c r="D88" t="s">
        <v>25</v>
      </c>
    </row>
    <row r="89" spans="1:4" x14ac:dyDescent="0.2">
      <c r="A89">
        <v>2009</v>
      </c>
      <c r="B89">
        <v>103</v>
      </c>
      <c r="C89">
        <v>0.3399103139013453</v>
      </c>
      <c r="D89">
        <v>0.6600896860986547</v>
      </c>
    </row>
    <row r="90" spans="1:4" x14ac:dyDescent="0.2">
      <c r="A90">
        <v>2008</v>
      </c>
      <c r="B90">
        <v>103</v>
      </c>
      <c r="C90">
        <v>0.67817548305353192</v>
      </c>
      <c r="D90">
        <v>0.32182451694646808</v>
      </c>
    </row>
    <row r="91" spans="1:4" x14ac:dyDescent="0.2">
      <c r="A91">
        <v>2007</v>
      </c>
      <c r="B91">
        <v>103</v>
      </c>
      <c r="C91">
        <v>0.34776119402985073</v>
      </c>
      <c r="D91">
        <v>0.65223880597014927</v>
      </c>
    </row>
    <row r="92" spans="1:4" x14ac:dyDescent="0.2">
      <c r="A92">
        <v>2006</v>
      </c>
      <c r="B92">
        <v>103</v>
      </c>
      <c r="C92" t="s">
        <v>25</v>
      </c>
      <c r="D92" t="s">
        <v>25</v>
      </c>
    </row>
    <row r="93" spans="1:4" x14ac:dyDescent="0.2">
      <c r="A93">
        <v>2005</v>
      </c>
      <c r="B93">
        <v>103</v>
      </c>
      <c r="C93">
        <v>0.32917316692667709</v>
      </c>
      <c r="D93">
        <v>0.67082683307332291</v>
      </c>
    </row>
    <row r="94" spans="1:4" x14ac:dyDescent="0.2">
      <c r="A94">
        <v>2004</v>
      </c>
      <c r="B94">
        <v>103</v>
      </c>
      <c r="C94">
        <v>0.52506329113924055</v>
      </c>
      <c r="D94">
        <v>0.47493670886075945</v>
      </c>
    </row>
    <row r="95" spans="1:4" x14ac:dyDescent="0.2">
      <c r="A95">
        <v>2003</v>
      </c>
      <c r="B95">
        <v>103</v>
      </c>
      <c r="C95">
        <v>0.42733423545331528</v>
      </c>
      <c r="D95">
        <v>0.57266576454668472</v>
      </c>
    </row>
    <row r="96" spans="1:4" x14ac:dyDescent="0.2">
      <c r="A96">
        <v>2002</v>
      </c>
      <c r="B96">
        <v>103</v>
      </c>
      <c r="C96">
        <v>0.33176470588235296</v>
      </c>
      <c r="D96">
        <v>0.66823529411764704</v>
      </c>
    </row>
    <row r="97" spans="1:4" x14ac:dyDescent="0.2">
      <c r="A97">
        <v>2001</v>
      </c>
      <c r="B97">
        <v>103</v>
      </c>
      <c r="C97" t="s">
        <v>25</v>
      </c>
      <c r="D97" t="s">
        <v>25</v>
      </c>
    </row>
    <row r="98" spans="1:4" x14ac:dyDescent="0.2">
      <c r="A98">
        <v>2000</v>
      </c>
      <c r="B98">
        <v>103</v>
      </c>
      <c r="C98">
        <v>0.36792249730893434</v>
      </c>
      <c r="D98">
        <v>0.63207750269106566</v>
      </c>
    </row>
    <row r="99" spans="1:4" x14ac:dyDescent="0.2">
      <c r="A99">
        <v>1999</v>
      </c>
      <c r="B99">
        <v>103</v>
      </c>
      <c r="C99" t="s">
        <v>25</v>
      </c>
      <c r="D99" t="s">
        <v>25</v>
      </c>
    </row>
    <row r="100" spans="1:4" x14ac:dyDescent="0.2">
      <c r="A100">
        <v>1998</v>
      </c>
      <c r="B100">
        <v>103</v>
      </c>
      <c r="C100">
        <v>0.4945205479452055</v>
      </c>
      <c r="D100">
        <v>0.5054794520547945</v>
      </c>
    </row>
    <row r="101" spans="1:4" x14ac:dyDescent="0.2">
      <c r="A101">
        <v>1997</v>
      </c>
      <c r="B101">
        <v>103</v>
      </c>
      <c r="C101">
        <v>0.4105978260869565</v>
      </c>
      <c r="D101">
        <v>0.5894021739130435</v>
      </c>
    </row>
    <row r="102" spans="1:4" x14ac:dyDescent="0.2">
      <c r="A102">
        <v>2021</v>
      </c>
      <c r="B102">
        <v>104</v>
      </c>
      <c r="C102" t="s">
        <v>25</v>
      </c>
      <c r="D102" t="s">
        <v>25</v>
      </c>
    </row>
    <row r="103" spans="1:4" x14ac:dyDescent="0.2">
      <c r="A103">
        <v>2020</v>
      </c>
      <c r="B103">
        <v>104</v>
      </c>
      <c r="C103" t="s">
        <v>25</v>
      </c>
      <c r="D103" t="s">
        <v>25</v>
      </c>
    </row>
    <row r="104" spans="1:4" x14ac:dyDescent="0.2">
      <c r="A104">
        <v>2019</v>
      </c>
      <c r="B104">
        <v>104</v>
      </c>
      <c r="C104" t="s">
        <v>25</v>
      </c>
      <c r="D104" t="s">
        <v>25</v>
      </c>
    </row>
    <row r="105" spans="1:4" x14ac:dyDescent="0.2">
      <c r="A105">
        <v>2018</v>
      </c>
      <c r="B105">
        <v>104</v>
      </c>
      <c r="C105" t="s">
        <v>25</v>
      </c>
      <c r="D105" t="s">
        <v>25</v>
      </c>
    </row>
    <row r="106" spans="1:4" x14ac:dyDescent="0.2">
      <c r="A106">
        <v>2017</v>
      </c>
      <c r="B106">
        <v>104</v>
      </c>
      <c r="C106" t="s">
        <v>25</v>
      </c>
      <c r="D106" t="s">
        <v>25</v>
      </c>
    </row>
    <row r="107" spans="1:4" x14ac:dyDescent="0.2">
      <c r="A107">
        <v>2016</v>
      </c>
      <c r="B107">
        <v>104</v>
      </c>
      <c r="C107" t="s">
        <v>25</v>
      </c>
      <c r="D107" t="s">
        <v>25</v>
      </c>
    </row>
    <row r="108" spans="1:4" x14ac:dyDescent="0.2">
      <c r="A108">
        <v>2015</v>
      </c>
      <c r="B108">
        <v>104</v>
      </c>
      <c r="C108" t="s">
        <v>25</v>
      </c>
      <c r="D108" t="s">
        <v>25</v>
      </c>
    </row>
    <row r="109" spans="1:4" x14ac:dyDescent="0.2">
      <c r="A109">
        <v>2014</v>
      </c>
      <c r="B109">
        <v>104</v>
      </c>
      <c r="C109" t="s">
        <v>25</v>
      </c>
      <c r="D109" t="s">
        <v>25</v>
      </c>
    </row>
    <row r="110" spans="1:4" x14ac:dyDescent="0.2">
      <c r="A110">
        <v>2013</v>
      </c>
      <c r="B110">
        <v>104</v>
      </c>
      <c r="C110" t="s">
        <v>25</v>
      </c>
      <c r="D110" t="s">
        <v>25</v>
      </c>
    </row>
    <row r="111" spans="1:4" x14ac:dyDescent="0.2">
      <c r="A111">
        <v>2012</v>
      </c>
      <c r="B111">
        <v>104</v>
      </c>
      <c r="C111" t="s">
        <v>25</v>
      </c>
      <c r="D111" t="s">
        <v>25</v>
      </c>
    </row>
    <row r="112" spans="1:4" x14ac:dyDescent="0.2">
      <c r="A112">
        <v>2011</v>
      </c>
      <c r="B112">
        <v>104</v>
      </c>
      <c r="C112" t="s">
        <v>25</v>
      </c>
      <c r="D112" t="s">
        <v>25</v>
      </c>
    </row>
    <row r="113" spans="1:4" x14ac:dyDescent="0.2">
      <c r="A113">
        <v>2010</v>
      </c>
      <c r="B113">
        <v>104</v>
      </c>
      <c r="C113">
        <v>0.59861351819757369</v>
      </c>
      <c r="D113">
        <v>0.40138648180242631</v>
      </c>
    </row>
    <row r="114" spans="1:4" x14ac:dyDescent="0.2">
      <c r="A114">
        <v>2009</v>
      </c>
      <c r="B114">
        <v>104</v>
      </c>
      <c r="C114" t="s">
        <v>25</v>
      </c>
      <c r="D114" t="s">
        <v>25</v>
      </c>
    </row>
    <row r="115" spans="1:4" x14ac:dyDescent="0.2">
      <c r="A115">
        <v>2008</v>
      </c>
      <c r="B115">
        <v>104</v>
      </c>
      <c r="C115" t="s">
        <v>25</v>
      </c>
      <c r="D115" t="s">
        <v>25</v>
      </c>
    </row>
    <row r="116" spans="1:4" x14ac:dyDescent="0.2">
      <c r="A116">
        <v>2007</v>
      </c>
      <c r="B116">
        <v>104</v>
      </c>
      <c r="C116" t="s">
        <v>25</v>
      </c>
      <c r="D116" t="s">
        <v>25</v>
      </c>
    </row>
    <row r="117" spans="1:4" x14ac:dyDescent="0.2">
      <c r="A117">
        <v>2006</v>
      </c>
      <c r="B117">
        <v>104</v>
      </c>
      <c r="C117" t="s">
        <v>25</v>
      </c>
      <c r="D117" t="s">
        <v>25</v>
      </c>
    </row>
    <row r="118" spans="1:4" x14ac:dyDescent="0.2">
      <c r="A118">
        <v>2005</v>
      </c>
      <c r="B118">
        <v>104</v>
      </c>
      <c r="C118" t="s">
        <v>25</v>
      </c>
      <c r="D118" t="s">
        <v>25</v>
      </c>
    </row>
    <row r="119" spans="1:4" x14ac:dyDescent="0.2">
      <c r="A119">
        <v>2004</v>
      </c>
      <c r="B119">
        <v>104</v>
      </c>
      <c r="C119" t="s">
        <v>25</v>
      </c>
      <c r="D119" t="s">
        <v>25</v>
      </c>
    </row>
    <row r="120" spans="1:4" x14ac:dyDescent="0.2">
      <c r="A120">
        <v>2003</v>
      </c>
      <c r="B120">
        <v>104</v>
      </c>
      <c r="C120">
        <v>0.51348314606741585</v>
      </c>
      <c r="D120">
        <v>0.48651685393258415</v>
      </c>
    </row>
    <row r="121" spans="1:4" x14ac:dyDescent="0.2">
      <c r="A121">
        <v>2002</v>
      </c>
      <c r="B121">
        <v>104</v>
      </c>
      <c r="C121">
        <v>0.71379962192816637</v>
      </c>
      <c r="D121">
        <v>0.28620037807183363</v>
      </c>
    </row>
    <row r="122" spans="1:4" x14ac:dyDescent="0.2">
      <c r="A122">
        <v>2001</v>
      </c>
      <c r="B122">
        <v>104</v>
      </c>
      <c r="C122" t="s">
        <v>25</v>
      </c>
      <c r="D122" t="s">
        <v>25</v>
      </c>
    </row>
    <row r="123" spans="1:4" x14ac:dyDescent="0.2">
      <c r="A123">
        <v>2000</v>
      </c>
      <c r="B123">
        <v>104</v>
      </c>
      <c r="C123" t="s">
        <v>25</v>
      </c>
      <c r="D123" t="s">
        <v>25</v>
      </c>
    </row>
    <row r="124" spans="1:4" x14ac:dyDescent="0.2">
      <c r="A124">
        <v>1999</v>
      </c>
      <c r="B124">
        <v>104</v>
      </c>
      <c r="C124" t="s">
        <v>25</v>
      </c>
      <c r="D124" t="s">
        <v>25</v>
      </c>
    </row>
    <row r="125" spans="1:4" x14ac:dyDescent="0.2">
      <c r="A125">
        <v>1998</v>
      </c>
      <c r="B125">
        <v>104</v>
      </c>
      <c r="C125" t="s">
        <v>25</v>
      </c>
      <c r="D125" t="s">
        <v>25</v>
      </c>
    </row>
    <row r="126" spans="1:4" x14ac:dyDescent="0.2">
      <c r="A126">
        <v>1997</v>
      </c>
      <c r="B126">
        <v>104</v>
      </c>
      <c r="C126">
        <v>0.58734177215189876</v>
      </c>
      <c r="D126">
        <v>0.41265822784810124</v>
      </c>
    </row>
    <row r="127" spans="1:4" x14ac:dyDescent="0.2">
      <c r="A127">
        <v>2021</v>
      </c>
      <c r="B127">
        <v>105</v>
      </c>
      <c r="C127">
        <v>0.45818647869272672</v>
      </c>
      <c r="D127">
        <v>0.54181352130727323</v>
      </c>
    </row>
    <row r="128" spans="1:4" x14ac:dyDescent="0.2">
      <c r="A128">
        <v>2020</v>
      </c>
      <c r="B128">
        <v>105</v>
      </c>
      <c r="C128">
        <v>0.51176748582230625</v>
      </c>
      <c r="D128">
        <v>0.48823251417769375</v>
      </c>
    </row>
    <row r="129" spans="1:4" x14ac:dyDescent="0.2">
      <c r="A129">
        <v>2019</v>
      </c>
      <c r="B129">
        <v>105</v>
      </c>
      <c r="C129">
        <v>0.39575181665735037</v>
      </c>
      <c r="D129">
        <v>0.60424818334264963</v>
      </c>
    </row>
    <row r="130" spans="1:4" x14ac:dyDescent="0.2">
      <c r="A130">
        <v>2018</v>
      </c>
      <c r="B130">
        <v>105</v>
      </c>
      <c r="C130">
        <v>0.51379235916252974</v>
      </c>
      <c r="D130">
        <v>0.48620764083747026</v>
      </c>
    </row>
    <row r="131" spans="1:4" x14ac:dyDescent="0.2">
      <c r="A131">
        <v>2017</v>
      </c>
      <c r="B131">
        <v>105</v>
      </c>
      <c r="C131">
        <v>0.32375100187015765</v>
      </c>
      <c r="D131">
        <v>0.67624899812984229</v>
      </c>
    </row>
    <row r="132" spans="1:4" x14ac:dyDescent="0.2">
      <c r="A132">
        <v>2016</v>
      </c>
      <c r="B132">
        <v>105</v>
      </c>
      <c r="C132">
        <v>0.46179331306990884</v>
      </c>
      <c r="D132">
        <v>0.53820668693009122</v>
      </c>
    </row>
    <row r="133" spans="1:4" x14ac:dyDescent="0.2">
      <c r="A133">
        <v>2015</v>
      </c>
      <c r="B133">
        <v>105</v>
      </c>
      <c r="C133">
        <v>0.56845973939191452</v>
      </c>
      <c r="D133">
        <v>0.43154026060808548</v>
      </c>
    </row>
    <row r="134" spans="1:4" x14ac:dyDescent="0.2">
      <c r="A134">
        <v>2014</v>
      </c>
      <c r="B134">
        <v>105</v>
      </c>
      <c r="C134">
        <v>0.46341463414634154</v>
      </c>
      <c r="D134">
        <v>0.53658536585365846</v>
      </c>
    </row>
    <row r="135" spans="1:4" x14ac:dyDescent="0.2">
      <c r="A135">
        <v>2013</v>
      </c>
      <c r="B135">
        <v>105</v>
      </c>
      <c r="C135">
        <v>0.27620137299771169</v>
      </c>
      <c r="D135">
        <v>0.72379862700228825</v>
      </c>
    </row>
    <row r="136" spans="1:4" x14ac:dyDescent="0.2">
      <c r="A136">
        <v>2012</v>
      </c>
      <c r="B136">
        <v>105</v>
      </c>
      <c r="C136">
        <v>0.35837299870186068</v>
      </c>
      <c r="D136">
        <v>0.64162700129813932</v>
      </c>
    </row>
    <row r="137" spans="1:4" x14ac:dyDescent="0.2">
      <c r="A137">
        <v>2011</v>
      </c>
      <c r="B137">
        <v>105</v>
      </c>
      <c r="C137">
        <v>0.46903553299492384</v>
      </c>
      <c r="D137">
        <v>0.53096446700507616</v>
      </c>
    </row>
    <row r="138" spans="1:4" x14ac:dyDescent="0.2">
      <c r="A138">
        <v>2010</v>
      </c>
      <c r="B138">
        <v>105</v>
      </c>
      <c r="C138">
        <v>0.6026845637583893</v>
      </c>
      <c r="D138">
        <v>0.3973154362416107</v>
      </c>
    </row>
    <row r="139" spans="1:4" x14ac:dyDescent="0.2">
      <c r="A139">
        <v>2009</v>
      </c>
      <c r="B139">
        <v>105</v>
      </c>
      <c r="C139">
        <v>0.39983333333333332</v>
      </c>
      <c r="D139">
        <v>0.60016666666666674</v>
      </c>
    </row>
    <row r="140" spans="1:4" x14ac:dyDescent="0.2">
      <c r="A140">
        <v>2008</v>
      </c>
      <c r="B140">
        <v>105</v>
      </c>
      <c r="C140">
        <v>0.33520280420630955</v>
      </c>
      <c r="D140">
        <v>0.66479719579369045</v>
      </c>
    </row>
    <row r="141" spans="1:4" x14ac:dyDescent="0.2">
      <c r="A141">
        <v>2007</v>
      </c>
      <c r="B141">
        <v>105</v>
      </c>
      <c r="C141">
        <v>0.26213786213786217</v>
      </c>
      <c r="D141">
        <v>0.73786213786213783</v>
      </c>
    </row>
    <row r="142" spans="1:4" x14ac:dyDescent="0.2">
      <c r="A142">
        <v>2006</v>
      </c>
      <c r="B142">
        <v>105</v>
      </c>
      <c r="C142">
        <v>0.49526107942079861</v>
      </c>
      <c r="D142">
        <v>0.50473892057920144</v>
      </c>
    </row>
    <row r="143" spans="1:4" x14ac:dyDescent="0.2">
      <c r="A143">
        <v>2005</v>
      </c>
      <c r="B143">
        <v>105</v>
      </c>
      <c r="C143">
        <v>0.50802357207615589</v>
      </c>
      <c r="D143">
        <v>0.49197642792384411</v>
      </c>
    </row>
    <row r="144" spans="1:4" x14ac:dyDescent="0.2">
      <c r="A144">
        <v>2004</v>
      </c>
      <c r="B144">
        <v>105</v>
      </c>
      <c r="C144">
        <v>0.42892738952696119</v>
      </c>
      <c r="D144">
        <v>0.57107261047303881</v>
      </c>
    </row>
    <row r="145" spans="1:4" x14ac:dyDescent="0.2">
      <c r="A145">
        <v>2003</v>
      </c>
      <c r="B145">
        <v>105</v>
      </c>
      <c r="C145">
        <v>0.34933035714285715</v>
      </c>
      <c r="D145">
        <v>0.65066964285714279</v>
      </c>
    </row>
    <row r="146" spans="1:4" x14ac:dyDescent="0.2">
      <c r="A146">
        <v>2002</v>
      </c>
      <c r="B146">
        <v>105</v>
      </c>
      <c r="C146">
        <v>0.31368421052631579</v>
      </c>
      <c r="D146">
        <v>0.68631578947368421</v>
      </c>
    </row>
    <row r="147" spans="1:4" x14ac:dyDescent="0.2">
      <c r="A147">
        <v>2001</v>
      </c>
      <c r="B147">
        <v>105</v>
      </c>
      <c r="C147">
        <v>0.42517482517482519</v>
      </c>
      <c r="D147">
        <v>0.57482517482517481</v>
      </c>
    </row>
    <row r="148" spans="1:4" x14ac:dyDescent="0.2">
      <c r="A148">
        <v>2000</v>
      </c>
      <c r="B148">
        <v>105</v>
      </c>
      <c r="C148">
        <v>0.46523605150214592</v>
      </c>
      <c r="D148">
        <v>0.53476394849785414</v>
      </c>
    </row>
    <row r="149" spans="1:4" x14ac:dyDescent="0.2">
      <c r="A149">
        <v>1999</v>
      </c>
      <c r="B149">
        <v>105</v>
      </c>
      <c r="C149">
        <v>0.34926829268292686</v>
      </c>
      <c r="D149">
        <v>0.65073170731707308</v>
      </c>
    </row>
    <row r="150" spans="1:4" x14ac:dyDescent="0.2">
      <c r="A150">
        <v>1998</v>
      </c>
      <c r="B150">
        <v>105</v>
      </c>
      <c r="C150">
        <v>0.52605042016806725</v>
      </c>
      <c r="D150">
        <v>0.47394957983193275</v>
      </c>
    </row>
    <row r="151" spans="1:4" x14ac:dyDescent="0.2">
      <c r="A151">
        <v>1997</v>
      </c>
      <c r="B151">
        <v>105</v>
      </c>
      <c r="C151">
        <v>0.32307692307692304</v>
      </c>
      <c r="D151">
        <v>0.67692307692307696</v>
      </c>
    </row>
    <row r="152" spans="1:4" x14ac:dyDescent="0.2">
      <c r="A152">
        <v>2021</v>
      </c>
      <c r="B152">
        <v>106</v>
      </c>
      <c r="C152">
        <v>0.52951974386339384</v>
      </c>
      <c r="D152">
        <v>0.47048025613660616</v>
      </c>
    </row>
    <row r="153" spans="1:4" x14ac:dyDescent="0.2">
      <c r="A153">
        <v>2020</v>
      </c>
      <c r="B153">
        <v>106</v>
      </c>
      <c r="C153">
        <v>0.47729577464788731</v>
      </c>
      <c r="D153">
        <v>0.52270422535211269</v>
      </c>
    </row>
    <row r="154" spans="1:4" x14ac:dyDescent="0.2">
      <c r="A154">
        <v>2019</v>
      </c>
      <c r="B154">
        <v>106</v>
      </c>
      <c r="C154">
        <v>0.5036406619385343</v>
      </c>
      <c r="D154">
        <v>0.4963593380614657</v>
      </c>
    </row>
    <row r="155" spans="1:4" x14ac:dyDescent="0.2">
      <c r="A155">
        <v>2018</v>
      </c>
      <c r="B155">
        <v>106</v>
      </c>
      <c r="C155">
        <v>0.58526633925198346</v>
      </c>
      <c r="D155">
        <v>0.41473366074801654</v>
      </c>
    </row>
    <row r="156" spans="1:4" x14ac:dyDescent="0.2">
      <c r="A156">
        <v>2017</v>
      </c>
      <c r="B156">
        <v>106</v>
      </c>
      <c r="C156">
        <v>0.47044252713609802</v>
      </c>
      <c r="D156">
        <v>0.52955747286390198</v>
      </c>
    </row>
    <row r="157" spans="1:4" x14ac:dyDescent="0.2">
      <c r="A157">
        <v>2016</v>
      </c>
      <c r="B157">
        <v>106</v>
      </c>
      <c r="C157">
        <v>0.47872317936793152</v>
      </c>
      <c r="D157">
        <v>0.52127682063206848</v>
      </c>
    </row>
    <row r="158" spans="1:4" x14ac:dyDescent="0.2">
      <c r="A158">
        <v>2015</v>
      </c>
      <c r="B158">
        <v>106</v>
      </c>
      <c r="C158">
        <v>0.55337423312883438</v>
      </c>
      <c r="D158">
        <v>0.44662576687116562</v>
      </c>
    </row>
    <row r="159" spans="1:4" x14ac:dyDescent="0.2">
      <c r="A159">
        <v>2014</v>
      </c>
      <c r="B159">
        <v>106</v>
      </c>
      <c r="C159">
        <v>0.57678958785249446</v>
      </c>
      <c r="D159">
        <v>0.42321041214750554</v>
      </c>
    </row>
    <row r="160" spans="1:4" x14ac:dyDescent="0.2">
      <c r="A160">
        <v>2013</v>
      </c>
      <c r="B160">
        <v>106</v>
      </c>
      <c r="C160">
        <v>0.53666508763619147</v>
      </c>
      <c r="D160">
        <v>0.46333491236380853</v>
      </c>
    </row>
    <row r="161" spans="1:4" x14ac:dyDescent="0.2">
      <c r="A161">
        <v>2012</v>
      </c>
      <c r="B161">
        <v>106</v>
      </c>
      <c r="C161">
        <v>0.55907964053300274</v>
      </c>
      <c r="D161">
        <v>0.44092035946699726</v>
      </c>
    </row>
    <row r="162" spans="1:4" x14ac:dyDescent="0.2">
      <c r="A162">
        <v>2011</v>
      </c>
      <c r="B162">
        <v>106</v>
      </c>
      <c r="C162">
        <v>0.39787717968157688</v>
      </c>
      <c r="D162">
        <v>0.60212282031842312</v>
      </c>
    </row>
    <row r="163" spans="1:4" x14ac:dyDescent="0.2">
      <c r="A163">
        <v>2010</v>
      </c>
      <c r="B163">
        <v>106</v>
      </c>
      <c r="C163">
        <v>0.63438966680889031</v>
      </c>
      <c r="D163">
        <v>0.36561033319110969</v>
      </c>
    </row>
    <row r="164" spans="1:4" x14ac:dyDescent="0.2">
      <c r="A164">
        <v>2009</v>
      </c>
      <c r="B164">
        <v>106</v>
      </c>
      <c r="C164">
        <v>0.50504249291784697</v>
      </c>
      <c r="D164">
        <v>0.49495750708215303</v>
      </c>
    </row>
    <row r="165" spans="1:4" x14ac:dyDescent="0.2">
      <c r="A165">
        <v>2008</v>
      </c>
      <c r="B165">
        <v>106</v>
      </c>
      <c r="C165">
        <v>0.53461538461538471</v>
      </c>
      <c r="D165">
        <v>0.46538461538461529</v>
      </c>
    </row>
    <row r="166" spans="1:4" x14ac:dyDescent="0.2">
      <c r="A166">
        <v>2007</v>
      </c>
      <c r="B166">
        <v>106</v>
      </c>
      <c r="C166">
        <v>0.50005577244841048</v>
      </c>
      <c r="D166">
        <v>0.49994422755158952</v>
      </c>
    </row>
    <row r="167" spans="1:4" x14ac:dyDescent="0.2">
      <c r="A167">
        <v>2006</v>
      </c>
      <c r="B167">
        <v>106</v>
      </c>
      <c r="C167">
        <v>0.54702338404983153</v>
      </c>
      <c r="D167">
        <v>0.45297661595016847</v>
      </c>
    </row>
    <row r="168" spans="1:4" x14ac:dyDescent="0.2">
      <c r="A168">
        <v>2005</v>
      </c>
      <c r="B168">
        <v>106</v>
      </c>
      <c r="C168">
        <v>0.71473141275632168</v>
      </c>
      <c r="D168">
        <v>0.28526858724367832</v>
      </c>
    </row>
    <row r="169" spans="1:4" x14ac:dyDescent="0.2">
      <c r="A169">
        <v>2004</v>
      </c>
      <c r="B169">
        <v>106</v>
      </c>
      <c r="C169">
        <v>0.51079691516709513</v>
      </c>
      <c r="D169">
        <v>0.48920308483290487</v>
      </c>
    </row>
    <row r="170" spans="1:4" x14ac:dyDescent="0.2">
      <c r="A170">
        <v>2003</v>
      </c>
      <c r="B170">
        <v>106</v>
      </c>
      <c r="C170">
        <v>0.58457223001402525</v>
      </c>
      <c r="D170">
        <v>0.41542776998597475</v>
      </c>
    </row>
    <row r="171" spans="1:4" x14ac:dyDescent="0.2">
      <c r="A171">
        <v>2002</v>
      </c>
      <c r="B171">
        <v>106</v>
      </c>
      <c r="C171">
        <v>0.70262605042016812</v>
      </c>
      <c r="D171">
        <v>0.29737394957983188</v>
      </c>
    </row>
    <row r="172" spans="1:4" x14ac:dyDescent="0.2">
      <c r="A172">
        <v>2001</v>
      </c>
      <c r="B172">
        <v>106</v>
      </c>
      <c r="C172">
        <v>0.45359477124183012</v>
      </c>
      <c r="D172">
        <v>0.54640522875816988</v>
      </c>
    </row>
    <row r="173" spans="1:4" x14ac:dyDescent="0.2">
      <c r="A173">
        <v>2000</v>
      </c>
      <c r="B173">
        <v>106</v>
      </c>
      <c r="C173">
        <v>0.57555228276877757</v>
      </c>
      <c r="D173">
        <v>0.42444771723122243</v>
      </c>
    </row>
    <row r="174" spans="1:4" x14ac:dyDescent="0.2">
      <c r="A174">
        <v>1999</v>
      </c>
      <c r="B174">
        <v>106</v>
      </c>
      <c r="C174">
        <v>0.73312401883830458</v>
      </c>
      <c r="D174">
        <v>0.26687598116169542</v>
      </c>
    </row>
    <row r="175" spans="1:4" x14ac:dyDescent="0.2">
      <c r="A175">
        <v>1998</v>
      </c>
      <c r="B175">
        <v>106</v>
      </c>
      <c r="C175">
        <v>0.60894454382826479</v>
      </c>
      <c r="D175">
        <v>0.39105545617173521</v>
      </c>
    </row>
    <row r="176" spans="1:4" x14ac:dyDescent="0.2">
      <c r="A176">
        <v>1997</v>
      </c>
      <c r="B176">
        <v>106</v>
      </c>
      <c r="C176">
        <v>0.60445969125214416</v>
      </c>
      <c r="D176">
        <v>0.39554030874785584</v>
      </c>
    </row>
    <row r="177" spans="1:4" x14ac:dyDescent="0.2">
      <c r="A177">
        <v>2021</v>
      </c>
      <c r="B177">
        <v>107</v>
      </c>
      <c r="C177">
        <v>0.53499043977055449</v>
      </c>
      <c r="D177">
        <v>0.46500956022944551</v>
      </c>
    </row>
    <row r="178" spans="1:4" x14ac:dyDescent="0.2">
      <c r="A178">
        <v>2020</v>
      </c>
      <c r="B178">
        <v>107</v>
      </c>
      <c r="C178" t="s">
        <v>25</v>
      </c>
      <c r="D178" t="s">
        <v>25</v>
      </c>
    </row>
    <row r="179" spans="1:4" x14ac:dyDescent="0.2">
      <c r="A179">
        <v>2019</v>
      </c>
      <c r="B179">
        <v>107</v>
      </c>
      <c r="C179" t="s">
        <v>25</v>
      </c>
      <c r="D179" t="s">
        <v>25</v>
      </c>
    </row>
    <row r="180" spans="1:4" x14ac:dyDescent="0.2">
      <c r="A180">
        <v>2018</v>
      </c>
      <c r="B180">
        <v>107</v>
      </c>
      <c r="C180" t="s">
        <v>25</v>
      </c>
      <c r="D180" t="s">
        <v>25</v>
      </c>
    </row>
    <row r="181" spans="1:4" x14ac:dyDescent="0.2">
      <c r="A181">
        <v>2017</v>
      </c>
      <c r="B181">
        <v>107</v>
      </c>
      <c r="C181">
        <v>0.30687318489835436</v>
      </c>
      <c r="D181">
        <v>0.69312681510164564</v>
      </c>
    </row>
    <row r="182" spans="1:4" x14ac:dyDescent="0.2">
      <c r="A182">
        <v>2016</v>
      </c>
      <c r="B182">
        <v>107</v>
      </c>
      <c r="C182">
        <v>0.29739685658153237</v>
      </c>
      <c r="D182">
        <v>0.70260314341846763</v>
      </c>
    </row>
    <row r="183" spans="1:4" x14ac:dyDescent="0.2">
      <c r="A183">
        <v>2015</v>
      </c>
      <c r="B183">
        <v>107</v>
      </c>
      <c r="C183">
        <v>0.32170238454572897</v>
      </c>
      <c r="D183">
        <v>0.67829761545427103</v>
      </c>
    </row>
    <row r="184" spans="1:4" x14ac:dyDescent="0.2">
      <c r="A184">
        <v>2014</v>
      </c>
      <c r="B184">
        <v>107</v>
      </c>
      <c r="C184">
        <v>0.33793103448275863</v>
      </c>
      <c r="D184">
        <v>0.66206896551724137</v>
      </c>
    </row>
    <row r="185" spans="1:4" x14ac:dyDescent="0.2">
      <c r="A185">
        <v>2013</v>
      </c>
      <c r="B185">
        <v>107</v>
      </c>
      <c r="C185">
        <v>0.56501766784452301</v>
      </c>
      <c r="D185">
        <v>0.43498233215547699</v>
      </c>
    </row>
    <row r="186" spans="1:4" x14ac:dyDescent="0.2">
      <c r="A186">
        <v>2012</v>
      </c>
      <c r="B186">
        <v>107</v>
      </c>
      <c r="C186">
        <v>0.64186991869918697</v>
      </c>
      <c r="D186">
        <v>0.35813008130081303</v>
      </c>
    </row>
    <row r="187" spans="1:4" x14ac:dyDescent="0.2">
      <c r="A187">
        <v>2011</v>
      </c>
      <c r="B187">
        <v>107</v>
      </c>
      <c r="C187">
        <v>0.4796050132928219</v>
      </c>
      <c r="D187">
        <v>0.5203949867071781</v>
      </c>
    </row>
    <row r="188" spans="1:4" x14ac:dyDescent="0.2">
      <c r="A188">
        <v>2010</v>
      </c>
      <c r="B188">
        <v>107</v>
      </c>
      <c r="C188">
        <v>0.49054774600096945</v>
      </c>
      <c r="D188">
        <v>0.50945225399903049</v>
      </c>
    </row>
    <row r="189" spans="1:4" x14ac:dyDescent="0.2">
      <c r="A189">
        <v>2009</v>
      </c>
      <c r="B189">
        <v>107</v>
      </c>
      <c r="C189">
        <v>0.68036332179930803</v>
      </c>
      <c r="D189">
        <v>0.31963667820069197</v>
      </c>
    </row>
    <row r="190" spans="1:4" x14ac:dyDescent="0.2">
      <c r="A190">
        <v>2008</v>
      </c>
      <c r="B190">
        <v>107</v>
      </c>
      <c r="C190" t="s">
        <v>25</v>
      </c>
      <c r="D190" t="s">
        <v>25</v>
      </c>
    </row>
    <row r="191" spans="1:4" x14ac:dyDescent="0.2">
      <c r="A191">
        <v>2007</v>
      </c>
      <c r="B191">
        <v>107</v>
      </c>
      <c r="C191" t="s">
        <v>25</v>
      </c>
      <c r="D191" t="s">
        <v>25</v>
      </c>
    </row>
    <row r="192" spans="1:4" x14ac:dyDescent="0.2">
      <c r="A192">
        <v>2006</v>
      </c>
      <c r="B192">
        <v>107</v>
      </c>
      <c r="C192" t="s">
        <v>25</v>
      </c>
      <c r="D192" t="s">
        <v>25</v>
      </c>
    </row>
    <row r="193" spans="1:4" x14ac:dyDescent="0.2">
      <c r="A193">
        <v>2005</v>
      </c>
      <c r="B193">
        <v>107</v>
      </c>
      <c r="C193">
        <v>0.63793103448275867</v>
      </c>
      <c r="D193">
        <v>0.36206896551724133</v>
      </c>
    </row>
    <row r="194" spans="1:4" x14ac:dyDescent="0.2">
      <c r="A194">
        <v>2004</v>
      </c>
      <c r="B194">
        <v>107</v>
      </c>
      <c r="C194" t="s">
        <v>25</v>
      </c>
      <c r="D194" t="s">
        <v>25</v>
      </c>
    </row>
    <row r="195" spans="1:4" x14ac:dyDescent="0.2">
      <c r="A195">
        <v>2003</v>
      </c>
      <c r="B195">
        <v>107</v>
      </c>
      <c r="C195">
        <v>0.75341830822711464</v>
      </c>
      <c r="D195">
        <v>0.24658169177288536</v>
      </c>
    </row>
    <row r="196" spans="1:4" x14ac:dyDescent="0.2">
      <c r="A196">
        <v>2002</v>
      </c>
      <c r="B196">
        <v>107</v>
      </c>
      <c r="C196" t="s">
        <v>25</v>
      </c>
      <c r="D196" t="s">
        <v>25</v>
      </c>
    </row>
    <row r="197" spans="1:4" x14ac:dyDescent="0.2">
      <c r="A197">
        <v>2001</v>
      </c>
      <c r="B197">
        <v>107</v>
      </c>
      <c r="C197">
        <v>0.69934210526315799</v>
      </c>
      <c r="D197">
        <v>0.30065789473684201</v>
      </c>
    </row>
    <row r="198" spans="1:4" x14ac:dyDescent="0.2">
      <c r="A198">
        <v>2000</v>
      </c>
      <c r="B198">
        <v>107</v>
      </c>
      <c r="C198">
        <v>0.67735849056603781</v>
      </c>
      <c r="D198">
        <v>0.32264150943396219</v>
      </c>
    </row>
    <row r="199" spans="1:4" x14ac:dyDescent="0.2">
      <c r="A199">
        <v>1999</v>
      </c>
      <c r="B199">
        <v>107</v>
      </c>
      <c r="C199" t="s">
        <v>25</v>
      </c>
      <c r="D199" t="s">
        <v>25</v>
      </c>
    </row>
    <row r="200" spans="1:4" x14ac:dyDescent="0.2">
      <c r="A200">
        <v>1998</v>
      </c>
      <c r="B200">
        <v>107</v>
      </c>
      <c r="C200">
        <v>0.6860759493670886</v>
      </c>
      <c r="D200">
        <v>0.3139240506329114</v>
      </c>
    </row>
    <row r="201" spans="1:4" x14ac:dyDescent="0.2">
      <c r="A201">
        <v>1997</v>
      </c>
      <c r="B201">
        <v>107</v>
      </c>
      <c r="C201">
        <v>0.67722772277227716</v>
      </c>
      <c r="D201">
        <v>0.32277227722772284</v>
      </c>
    </row>
    <row r="202" spans="1:4" x14ac:dyDescent="0.2">
      <c r="A202">
        <v>2021</v>
      </c>
      <c r="B202">
        <v>108</v>
      </c>
      <c r="C202" t="s">
        <v>25</v>
      </c>
      <c r="D202" t="s">
        <v>25</v>
      </c>
    </row>
    <row r="203" spans="1:4" x14ac:dyDescent="0.2">
      <c r="A203">
        <v>2020</v>
      </c>
      <c r="B203">
        <v>108</v>
      </c>
      <c r="C203" t="s">
        <v>25</v>
      </c>
      <c r="D203" t="s">
        <v>25</v>
      </c>
    </row>
    <row r="204" spans="1:4" x14ac:dyDescent="0.2">
      <c r="A204">
        <v>2019</v>
      </c>
      <c r="B204">
        <v>108</v>
      </c>
      <c r="C204">
        <v>0.48762159069235173</v>
      </c>
      <c r="D204">
        <v>0.51237840930764822</v>
      </c>
    </row>
    <row r="205" spans="1:4" x14ac:dyDescent="0.2">
      <c r="A205">
        <v>2018</v>
      </c>
      <c r="B205">
        <v>108</v>
      </c>
      <c r="C205">
        <v>0.2890948929715153</v>
      </c>
      <c r="D205">
        <v>0.71090510702848464</v>
      </c>
    </row>
    <row r="206" spans="1:4" x14ac:dyDescent="0.2">
      <c r="A206">
        <v>2017</v>
      </c>
      <c r="B206">
        <v>108</v>
      </c>
      <c r="C206">
        <v>0.35770308123249306</v>
      </c>
      <c r="D206">
        <v>0.64229691876750694</v>
      </c>
    </row>
    <row r="207" spans="1:4" x14ac:dyDescent="0.2">
      <c r="A207">
        <v>2016</v>
      </c>
      <c r="B207">
        <v>108</v>
      </c>
      <c r="C207" t="s">
        <v>25</v>
      </c>
      <c r="D207" t="s">
        <v>25</v>
      </c>
    </row>
    <row r="208" spans="1:4" x14ac:dyDescent="0.2">
      <c r="A208">
        <v>2015</v>
      </c>
      <c r="B208">
        <v>108</v>
      </c>
      <c r="C208">
        <v>0.29210327319866047</v>
      </c>
      <c r="D208">
        <v>0.70789672680133953</v>
      </c>
    </row>
    <row r="209" spans="1:4" x14ac:dyDescent="0.2">
      <c r="A209">
        <v>2014</v>
      </c>
      <c r="B209">
        <v>108</v>
      </c>
      <c r="C209">
        <v>0.43281309743126289</v>
      </c>
      <c r="D209">
        <v>0.56718690256873705</v>
      </c>
    </row>
    <row r="210" spans="1:4" x14ac:dyDescent="0.2">
      <c r="A210">
        <v>2013</v>
      </c>
      <c r="B210">
        <v>108</v>
      </c>
      <c r="C210">
        <v>0.32053902302077486</v>
      </c>
      <c r="D210">
        <v>0.67946097697922514</v>
      </c>
    </row>
    <row r="211" spans="1:4" x14ac:dyDescent="0.2">
      <c r="A211">
        <v>2012</v>
      </c>
      <c r="B211">
        <v>108</v>
      </c>
      <c r="C211">
        <v>0.47859598853868202</v>
      </c>
      <c r="D211">
        <v>0.52140401146131798</v>
      </c>
    </row>
    <row r="212" spans="1:4" x14ac:dyDescent="0.2">
      <c r="A212">
        <v>2011</v>
      </c>
      <c r="B212">
        <v>108</v>
      </c>
      <c r="C212">
        <v>0.29535639656373347</v>
      </c>
      <c r="D212">
        <v>0.70464360343626653</v>
      </c>
    </row>
    <row r="213" spans="1:4" x14ac:dyDescent="0.2">
      <c r="A213">
        <v>2010</v>
      </c>
      <c r="B213">
        <v>108</v>
      </c>
      <c r="C213">
        <v>0.40688161693936475</v>
      </c>
      <c r="D213">
        <v>0.59311838306063525</v>
      </c>
    </row>
    <row r="214" spans="1:4" x14ac:dyDescent="0.2">
      <c r="A214">
        <v>2009</v>
      </c>
      <c r="B214">
        <v>108</v>
      </c>
      <c r="C214">
        <v>0.52104341413955202</v>
      </c>
      <c r="D214">
        <v>0.47895658586044798</v>
      </c>
    </row>
    <row r="215" spans="1:4" x14ac:dyDescent="0.2">
      <c r="A215">
        <v>2008</v>
      </c>
      <c r="B215">
        <v>108</v>
      </c>
      <c r="C215">
        <v>0.50841624092497983</v>
      </c>
      <c r="D215">
        <v>0.49158375907502017</v>
      </c>
    </row>
    <row r="216" spans="1:4" x14ac:dyDescent="0.2">
      <c r="A216">
        <v>2007</v>
      </c>
      <c r="B216">
        <v>108</v>
      </c>
      <c r="C216" t="s">
        <v>25</v>
      </c>
      <c r="D216" t="s">
        <v>25</v>
      </c>
    </row>
    <row r="217" spans="1:4" x14ac:dyDescent="0.2">
      <c r="A217">
        <v>2006</v>
      </c>
      <c r="B217">
        <v>108</v>
      </c>
      <c r="C217" t="s">
        <v>25</v>
      </c>
      <c r="D217" t="s">
        <v>25</v>
      </c>
    </row>
    <row r="218" spans="1:4" x14ac:dyDescent="0.2">
      <c r="A218">
        <v>2005</v>
      </c>
      <c r="B218">
        <v>108</v>
      </c>
      <c r="C218">
        <v>0.69515634580012264</v>
      </c>
      <c r="D218">
        <v>0.30484365419987736</v>
      </c>
    </row>
    <row r="219" spans="1:4" x14ac:dyDescent="0.2">
      <c r="A219">
        <v>2004</v>
      </c>
      <c r="B219">
        <v>108</v>
      </c>
      <c r="C219">
        <v>0.54434975917006312</v>
      </c>
      <c r="D219">
        <v>0.45565024082993688</v>
      </c>
    </row>
    <row r="220" spans="1:4" x14ac:dyDescent="0.2">
      <c r="A220">
        <v>2003</v>
      </c>
      <c r="B220">
        <v>108</v>
      </c>
      <c r="C220">
        <v>0.50305676855895198</v>
      </c>
      <c r="D220">
        <v>0.49694323144104802</v>
      </c>
    </row>
    <row r="221" spans="1:4" x14ac:dyDescent="0.2">
      <c r="A221">
        <v>2002</v>
      </c>
      <c r="B221">
        <v>108</v>
      </c>
      <c r="C221">
        <v>0.65048046124279324</v>
      </c>
      <c r="D221">
        <v>0.34951953875720676</v>
      </c>
    </row>
    <row r="222" spans="1:4" x14ac:dyDescent="0.2">
      <c r="A222">
        <v>2001</v>
      </c>
      <c r="B222">
        <v>108</v>
      </c>
      <c r="C222">
        <v>0.6128617363344051</v>
      </c>
      <c r="D222">
        <v>0.3871382636655949</v>
      </c>
    </row>
    <row r="223" spans="1:4" x14ac:dyDescent="0.2">
      <c r="A223">
        <v>2000</v>
      </c>
      <c r="B223">
        <v>108</v>
      </c>
      <c r="C223">
        <v>0.34814814814814815</v>
      </c>
      <c r="D223">
        <v>0.6518518518518519</v>
      </c>
    </row>
    <row r="224" spans="1:4" x14ac:dyDescent="0.2">
      <c r="A224">
        <v>1999</v>
      </c>
      <c r="B224">
        <v>108</v>
      </c>
      <c r="C224">
        <v>0.47180067950169879</v>
      </c>
      <c r="D224">
        <v>0.52819932049830121</v>
      </c>
    </row>
    <row r="225" spans="1:4" x14ac:dyDescent="0.2">
      <c r="A225">
        <v>1998</v>
      </c>
      <c r="B225">
        <v>108</v>
      </c>
      <c r="C225">
        <v>0.60397579948141744</v>
      </c>
      <c r="D225">
        <v>0.39602420051858256</v>
      </c>
    </row>
    <row r="226" spans="1:4" x14ac:dyDescent="0.2">
      <c r="A226">
        <v>1997</v>
      </c>
      <c r="B226">
        <v>108</v>
      </c>
      <c r="C226">
        <v>0.46966292134831461</v>
      </c>
      <c r="D226">
        <v>0.53033707865168545</v>
      </c>
    </row>
    <row r="227" spans="1:4" x14ac:dyDescent="0.2">
      <c r="A227">
        <v>2021</v>
      </c>
      <c r="B227">
        <v>120</v>
      </c>
      <c r="C227">
        <v>0.36370590735231623</v>
      </c>
      <c r="D227">
        <v>0.63629409264768377</v>
      </c>
    </row>
    <row r="228" spans="1:4" x14ac:dyDescent="0.2">
      <c r="A228">
        <v>2020</v>
      </c>
      <c r="B228">
        <v>120</v>
      </c>
      <c r="C228" t="s">
        <v>25</v>
      </c>
      <c r="D228" t="s">
        <v>25</v>
      </c>
    </row>
    <row r="229" spans="1:4" x14ac:dyDescent="0.2">
      <c r="A229">
        <v>2019</v>
      </c>
      <c r="B229">
        <v>120</v>
      </c>
      <c r="C229">
        <v>0.29413470115967888</v>
      </c>
      <c r="D229">
        <v>0.70586529884032112</v>
      </c>
    </row>
    <row r="230" spans="1:4" x14ac:dyDescent="0.2">
      <c r="A230">
        <v>2018</v>
      </c>
      <c r="B230">
        <v>120</v>
      </c>
      <c r="C230">
        <v>0.30561891982556189</v>
      </c>
      <c r="D230">
        <v>0.69438108017443811</v>
      </c>
    </row>
    <row r="231" spans="1:4" x14ac:dyDescent="0.2">
      <c r="A231">
        <v>2017</v>
      </c>
      <c r="B231">
        <v>120</v>
      </c>
      <c r="C231" t="s">
        <v>25</v>
      </c>
      <c r="D231" t="s">
        <v>25</v>
      </c>
    </row>
    <row r="232" spans="1:4" x14ac:dyDescent="0.2">
      <c r="A232">
        <v>2016</v>
      </c>
      <c r="B232">
        <v>120</v>
      </c>
      <c r="C232">
        <v>0.45389841475250731</v>
      </c>
      <c r="D232">
        <v>0.54610158524749264</v>
      </c>
    </row>
    <row r="233" spans="1:4" x14ac:dyDescent="0.2">
      <c r="A233">
        <v>2015</v>
      </c>
      <c r="B233">
        <v>120</v>
      </c>
      <c r="C233" t="s">
        <v>25</v>
      </c>
      <c r="D233" t="s">
        <v>25</v>
      </c>
    </row>
    <row r="234" spans="1:4" x14ac:dyDescent="0.2">
      <c r="A234">
        <v>2014</v>
      </c>
      <c r="B234">
        <v>120</v>
      </c>
      <c r="C234">
        <v>0.2939946220495967</v>
      </c>
      <c r="D234">
        <v>0.7060053779504033</v>
      </c>
    </row>
    <row r="235" spans="1:4" x14ac:dyDescent="0.2">
      <c r="A235">
        <v>2013</v>
      </c>
      <c r="B235">
        <v>120</v>
      </c>
      <c r="C235">
        <v>0.34136928363732488</v>
      </c>
      <c r="D235">
        <v>0.65863071636267512</v>
      </c>
    </row>
    <row r="236" spans="1:4" x14ac:dyDescent="0.2">
      <c r="A236">
        <v>2012</v>
      </c>
      <c r="B236">
        <v>120</v>
      </c>
      <c r="C236">
        <v>0.53402575820523479</v>
      </c>
      <c r="D236">
        <v>0.46597424179476521</v>
      </c>
    </row>
    <row r="237" spans="1:4" x14ac:dyDescent="0.2">
      <c r="A237">
        <v>2011</v>
      </c>
      <c r="B237">
        <v>120</v>
      </c>
      <c r="C237">
        <v>0.458111954459203</v>
      </c>
      <c r="D237">
        <v>0.54188804554079706</v>
      </c>
    </row>
    <row r="238" spans="1:4" x14ac:dyDescent="0.2">
      <c r="A238">
        <v>2010</v>
      </c>
      <c r="B238">
        <v>120</v>
      </c>
      <c r="C238">
        <v>0.35485597074823871</v>
      </c>
      <c r="D238">
        <v>0.64514402925176129</v>
      </c>
    </row>
    <row r="239" spans="1:4" x14ac:dyDescent="0.2">
      <c r="A239">
        <v>2009</v>
      </c>
      <c r="B239">
        <v>120</v>
      </c>
      <c r="C239">
        <v>0.62483501215699899</v>
      </c>
      <c r="D239">
        <v>0.37516498784300101</v>
      </c>
    </row>
    <row r="240" spans="1:4" x14ac:dyDescent="0.2">
      <c r="A240">
        <v>2008</v>
      </c>
      <c r="B240">
        <v>120</v>
      </c>
      <c r="C240">
        <v>0.53264887063655031</v>
      </c>
      <c r="D240">
        <v>0.46735112936344969</v>
      </c>
    </row>
    <row r="241" spans="1:4" x14ac:dyDescent="0.2">
      <c r="A241">
        <v>2007</v>
      </c>
      <c r="B241">
        <v>120</v>
      </c>
      <c r="C241">
        <v>0.77449299142562722</v>
      </c>
      <c r="D241">
        <v>0.22550700857437278</v>
      </c>
    </row>
    <row r="242" spans="1:4" x14ac:dyDescent="0.2">
      <c r="A242">
        <v>2006</v>
      </c>
      <c r="B242">
        <v>120</v>
      </c>
      <c r="C242" t="s">
        <v>25</v>
      </c>
      <c r="D242" t="s">
        <v>25</v>
      </c>
    </row>
    <row r="243" spans="1:4" x14ac:dyDescent="0.2">
      <c r="A243">
        <v>2005</v>
      </c>
      <c r="B243">
        <v>120</v>
      </c>
      <c r="C243">
        <v>0.50655021834061131</v>
      </c>
      <c r="D243">
        <v>0.49344978165938869</v>
      </c>
    </row>
    <row r="244" spans="1:4" x14ac:dyDescent="0.2">
      <c r="A244">
        <v>2004</v>
      </c>
      <c r="B244">
        <v>120</v>
      </c>
      <c r="C244" t="s">
        <v>25</v>
      </c>
      <c r="D244" t="s">
        <v>25</v>
      </c>
    </row>
    <row r="245" spans="1:4" x14ac:dyDescent="0.2">
      <c r="A245">
        <v>2003</v>
      </c>
      <c r="B245">
        <v>120</v>
      </c>
      <c r="C245">
        <v>0.31551724137931036</v>
      </c>
      <c r="D245">
        <v>0.68448275862068964</v>
      </c>
    </row>
    <row r="246" spans="1:4" x14ac:dyDescent="0.2">
      <c r="A246">
        <v>2002</v>
      </c>
      <c r="B246">
        <v>120</v>
      </c>
      <c r="C246">
        <v>0.31023622047244093</v>
      </c>
      <c r="D246">
        <v>0.68976377952755907</v>
      </c>
    </row>
    <row r="247" spans="1:4" x14ac:dyDescent="0.2">
      <c r="A247">
        <v>2001</v>
      </c>
      <c r="B247">
        <v>120</v>
      </c>
      <c r="C247" t="s">
        <v>25</v>
      </c>
      <c r="D247" t="s">
        <v>25</v>
      </c>
    </row>
    <row r="248" spans="1:4" x14ac:dyDescent="0.2">
      <c r="A248">
        <v>2000</v>
      </c>
      <c r="B248">
        <v>120</v>
      </c>
      <c r="C248" t="s">
        <v>25</v>
      </c>
      <c r="D248" t="s">
        <v>25</v>
      </c>
    </row>
    <row r="249" spans="1:4" x14ac:dyDescent="0.2">
      <c r="A249">
        <v>1999</v>
      </c>
      <c r="B249">
        <v>120</v>
      </c>
      <c r="C249">
        <v>0.61705426356589155</v>
      </c>
      <c r="D249">
        <v>0.38294573643410845</v>
      </c>
    </row>
    <row r="250" spans="1:4" x14ac:dyDescent="0.2">
      <c r="A250">
        <v>1998</v>
      </c>
      <c r="B250">
        <v>120</v>
      </c>
      <c r="C250">
        <v>0.60673499267935582</v>
      </c>
      <c r="D250">
        <v>0.39326500732064418</v>
      </c>
    </row>
    <row r="251" spans="1:4" x14ac:dyDescent="0.2">
      <c r="A251">
        <v>1997</v>
      </c>
      <c r="B251">
        <v>120</v>
      </c>
      <c r="C251">
        <v>0.49315068493150688</v>
      </c>
      <c r="D251">
        <v>0.50684931506849318</v>
      </c>
    </row>
    <row r="252" spans="1:4" x14ac:dyDescent="0.2">
      <c r="A252">
        <v>2021</v>
      </c>
      <c r="B252">
        <v>121</v>
      </c>
      <c r="C252">
        <v>0.43668528690397374</v>
      </c>
      <c r="D252">
        <v>0.56331471309602632</v>
      </c>
    </row>
    <row r="253" spans="1:4" x14ac:dyDescent="0.2">
      <c r="A253">
        <v>2020</v>
      </c>
      <c r="B253">
        <v>121</v>
      </c>
      <c r="C253">
        <v>0.46081403599303361</v>
      </c>
      <c r="D253">
        <v>0.53918596400696639</v>
      </c>
    </row>
    <row r="254" spans="1:4" x14ac:dyDescent="0.2">
      <c r="A254">
        <v>2019</v>
      </c>
      <c r="B254">
        <v>121</v>
      </c>
      <c r="C254">
        <v>0.34589981447124307</v>
      </c>
      <c r="D254">
        <v>0.65410018552875693</v>
      </c>
    </row>
    <row r="255" spans="1:4" x14ac:dyDescent="0.2">
      <c r="A255">
        <v>2018</v>
      </c>
      <c r="B255">
        <v>121</v>
      </c>
      <c r="C255">
        <v>0.47919723990475727</v>
      </c>
      <c r="D255">
        <v>0.52080276009524273</v>
      </c>
    </row>
    <row r="256" spans="1:4" x14ac:dyDescent="0.2">
      <c r="A256">
        <v>2017</v>
      </c>
      <c r="B256">
        <v>121</v>
      </c>
      <c r="C256">
        <v>0.46935464044253239</v>
      </c>
      <c r="D256">
        <v>0.53064535955746761</v>
      </c>
    </row>
    <row r="257" spans="1:4" x14ac:dyDescent="0.2">
      <c r="A257">
        <v>2016</v>
      </c>
      <c r="B257">
        <v>121</v>
      </c>
      <c r="C257">
        <v>0.42214708368554521</v>
      </c>
      <c r="D257">
        <v>0.57785291631445479</v>
      </c>
    </row>
    <row r="258" spans="1:4" x14ac:dyDescent="0.2">
      <c r="A258">
        <v>2015</v>
      </c>
      <c r="B258">
        <v>121</v>
      </c>
      <c r="C258">
        <v>0.3547752472844018</v>
      </c>
      <c r="D258">
        <v>0.6452247527155982</v>
      </c>
    </row>
    <row r="259" spans="1:4" x14ac:dyDescent="0.2">
      <c r="A259">
        <v>2014</v>
      </c>
      <c r="B259">
        <v>121</v>
      </c>
      <c r="C259">
        <v>0.35038992201559682</v>
      </c>
      <c r="D259">
        <v>0.64961007798440318</v>
      </c>
    </row>
    <row r="260" spans="1:4" x14ac:dyDescent="0.2">
      <c r="A260">
        <v>2013</v>
      </c>
      <c r="B260">
        <v>121</v>
      </c>
      <c r="C260">
        <v>0.37346135381661072</v>
      </c>
      <c r="D260">
        <v>0.62653864618338928</v>
      </c>
    </row>
    <row r="261" spans="1:4" x14ac:dyDescent="0.2">
      <c r="A261">
        <v>2012</v>
      </c>
      <c r="B261">
        <v>121</v>
      </c>
      <c r="C261">
        <v>0.5343890625536738</v>
      </c>
      <c r="D261">
        <v>0.4656109374463262</v>
      </c>
    </row>
    <row r="262" spans="1:4" x14ac:dyDescent="0.2">
      <c r="A262">
        <v>2011</v>
      </c>
      <c r="B262">
        <v>121</v>
      </c>
      <c r="C262">
        <v>0.30549450549450552</v>
      </c>
      <c r="D262">
        <v>0.69450549450549448</v>
      </c>
    </row>
    <row r="263" spans="1:4" x14ac:dyDescent="0.2">
      <c r="A263">
        <v>2010</v>
      </c>
      <c r="B263">
        <v>121</v>
      </c>
      <c r="C263">
        <v>0.42078982242247553</v>
      </c>
      <c r="D263">
        <v>0.57921017757752447</v>
      </c>
    </row>
    <row r="264" spans="1:4" x14ac:dyDescent="0.2">
      <c r="A264">
        <v>2009</v>
      </c>
      <c r="B264">
        <v>121</v>
      </c>
      <c r="C264">
        <v>0.4347419171866137</v>
      </c>
      <c r="D264">
        <v>0.5652580828133863</v>
      </c>
    </row>
    <row r="265" spans="1:4" x14ac:dyDescent="0.2">
      <c r="A265">
        <v>2008</v>
      </c>
      <c r="B265">
        <v>121</v>
      </c>
      <c r="C265">
        <v>0.4428433992517371</v>
      </c>
      <c r="D265">
        <v>0.5571566007482629</v>
      </c>
    </row>
    <row r="266" spans="1:4" x14ac:dyDescent="0.2">
      <c r="A266">
        <v>2007</v>
      </c>
      <c r="B266">
        <v>121</v>
      </c>
      <c r="C266">
        <v>0.29111272152315698</v>
      </c>
      <c r="D266">
        <v>0.70888727847684296</v>
      </c>
    </row>
    <row r="267" spans="1:4" x14ac:dyDescent="0.2">
      <c r="A267">
        <v>2006</v>
      </c>
      <c r="B267">
        <v>121</v>
      </c>
      <c r="C267">
        <v>0.35786261612531367</v>
      </c>
      <c r="D267">
        <v>0.64213738387468633</v>
      </c>
    </row>
    <row r="268" spans="1:4" x14ac:dyDescent="0.2">
      <c r="A268">
        <v>2005</v>
      </c>
      <c r="B268">
        <v>121</v>
      </c>
      <c r="C268">
        <v>0.52930552022386157</v>
      </c>
      <c r="D268">
        <v>0.47069447977613843</v>
      </c>
    </row>
    <row r="269" spans="1:4" x14ac:dyDescent="0.2">
      <c r="A269">
        <v>2004</v>
      </c>
      <c r="B269">
        <v>121</v>
      </c>
      <c r="C269">
        <v>0.36053215077605327</v>
      </c>
      <c r="D269">
        <v>0.63946784922394673</v>
      </c>
    </row>
    <row r="270" spans="1:4" x14ac:dyDescent="0.2">
      <c r="A270">
        <v>2003</v>
      </c>
      <c r="B270">
        <v>121</v>
      </c>
      <c r="C270">
        <v>0.52631232516044091</v>
      </c>
      <c r="D270">
        <v>0.47368767483955909</v>
      </c>
    </row>
    <row r="271" spans="1:4" x14ac:dyDescent="0.2">
      <c r="A271">
        <v>2002</v>
      </c>
      <c r="B271">
        <v>121</v>
      </c>
      <c r="C271">
        <v>0.58291163876994945</v>
      </c>
      <c r="D271">
        <v>0.41708836123005055</v>
      </c>
    </row>
    <row r="272" spans="1:4" x14ac:dyDescent="0.2">
      <c r="A272">
        <v>2001</v>
      </c>
      <c r="B272">
        <v>121</v>
      </c>
      <c r="C272">
        <v>0.3697029702970297</v>
      </c>
      <c r="D272">
        <v>0.6302970297029703</v>
      </c>
    </row>
    <row r="273" spans="1:4" x14ac:dyDescent="0.2">
      <c r="A273">
        <v>2000</v>
      </c>
      <c r="B273">
        <v>121</v>
      </c>
      <c r="C273">
        <v>0.43584373741441806</v>
      </c>
      <c r="D273">
        <v>0.56415626258558194</v>
      </c>
    </row>
    <row r="274" spans="1:4" x14ac:dyDescent="0.2">
      <c r="A274">
        <v>1999</v>
      </c>
      <c r="B274">
        <v>121</v>
      </c>
      <c r="C274">
        <v>0.45912698412698416</v>
      </c>
      <c r="D274">
        <v>0.54087301587301584</v>
      </c>
    </row>
    <row r="275" spans="1:4" x14ac:dyDescent="0.2">
      <c r="A275">
        <v>1998</v>
      </c>
      <c r="B275">
        <v>121</v>
      </c>
      <c r="C275">
        <v>0.67965271593944798</v>
      </c>
      <c r="D275">
        <v>0.32034728406055202</v>
      </c>
    </row>
    <row r="276" spans="1:4" x14ac:dyDescent="0.2">
      <c r="A276">
        <v>1997</v>
      </c>
      <c r="B276">
        <v>121</v>
      </c>
      <c r="C276">
        <v>0.49495798319327733</v>
      </c>
      <c r="D276">
        <v>0.50504201680672267</v>
      </c>
    </row>
    <row r="277" spans="1:4" x14ac:dyDescent="0.2">
      <c r="A277">
        <v>2021</v>
      </c>
      <c r="B277">
        <v>122</v>
      </c>
      <c r="C277">
        <v>0.27408167453314181</v>
      </c>
      <c r="D277">
        <v>0.72591832546685819</v>
      </c>
    </row>
    <row r="278" spans="1:4" x14ac:dyDescent="0.2">
      <c r="A278">
        <v>2020</v>
      </c>
      <c r="B278">
        <v>122</v>
      </c>
      <c r="C278">
        <v>0.39293734327833768</v>
      </c>
      <c r="D278">
        <v>0.60706265672166237</v>
      </c>
    </row>
    <row r="279" spans="1:4" x14ac:dyDescent="0.2">
      <c r="A279">
        <v>2019</v>
      </c>
      <c r="B279">
        <v>122</v>
      </c>
      <c r="C279">
        <v>0.36630800040731815</v>
      </c>
      <c r="D279">
        <v>0.63369199959268185</v>
      </c>
    </row>
    <row r="280" spans="1:4" x14ac:dyDescent="0.2">
      <c r="A280">
        <v>2018</v>
      </c>
      <c r="B280">
        <v>122</v>
      </c>
      <c r="C280">
        <v>0.34812056351584386</v>
      </c>
      <c r="D280">
        <v>0.65187943648415614</v>
      </c>
    </row>
    <row r="281" spans="1:4" x14ac:dyDescent="0.2">
      <c r="A281">
        <v>2017</v>
      </c>
      <c r="B281">
        <v>122</v>
      </c>
      <c r="C281">
        <v>0.27022125070156267</v>
      </c>
      <c r="D281">
        <v>0.72977874929843733</v>
      </c>
    </row>
    <row r="282" spans="1:4" x14ac:dyDescent="0.2">
      <c r="A282">
        <v>2016</v>
      </c>
      <c r="B282">
        <v>122</v>
      </c>
      <c r="C282">
        <v>0.32339527027027026</v>
      </c>
      <c r="D282">
        <v>0.67660472972972974</v>
      </c>
    </row>
    <row r="283" spans="1:4" x14ac:dyDescent="0.2">
      <c r="A283">
        <v>2015</v>
      </c>
      <c r="B283">
        <v>122</v>
      </c>
      <c r="C283">
        <v>0.30838993355359323</v>
      </c>
      <c r="D283">
        <v>0.69161006644640677</v>
      </c>
    </row>
    <row r="284" spans="1:4" x14ac:dyDescent="0.2">
      <c r="A284">
        <v>2014</v>
      </c>
      <c r="B284">
        <v>122</v>
      </c>
      <c r="C284">
        <v>0.28708861978477024</v>
      </c>
      <c r="D284">
        <v>0.71291138021522982</v>
      </c>
    </row>
    <row r="285" spans="1:4" x14ac:dyDescent="0.2">
      <c r="A285">
        <v>2013</v>
      </c>
      <c r="B285">
        <v>122</v>
      </c>
      <c r="C285">
        <v>0.24100637666519351</v>
      </c>
      <c r="D285">
        <v>0.75899362333480647</v>
      </c>
    </row>
    <row r="286" spans="1:4" x14ac:dyDescent="0.2">
      <c r="A286">
        <v>2012</v>
      </c>
      <c r="B286">
        <v>122</v>
      </c>
      <c r="C286">
        <v>0.27680189655992421</v>
      </c>
      <c r="D286">
        <v>0.72319810344007585</v>
      </c>
    </row>
    <row r="287" spans="1:4" x14ac:dyDescent="0.2">
      <c r="A287">
        <v>2011</v>
      </c>
      <c r="B287">
        <v>122</v>
      </c>
      <c r="C287">
        <v>0.31218314304382011</v>
      </c>
      <c r="D287">
        <v>0.68781685695617989</v>
      </c>
    </row>
    <row r="288" spans="1:4" x14ac:dyDescent="0.2">
      <c r="A288">
        <v>2010</v>
      </c>
      <c r="B288">
        <v>122</v>
      </c>
      <c r="C288">
        <v>0.24245320361930472</v>
      </c>
      <c r="D288">
        <v>0.75754679638069522</v>
      </c>
    </row>
    <row r="289" spans="1:4" x14ac:dyDescent="0.2">
      <c r="A289">
        <v>2009</v>
      </c>
      <c r="B289">
        <v>122</v>
      </c>
      <c r="C289">
        <v>0.28296943231441052</v>
      </c>
      <c r="D289">
        <v>0.71703056768558948</v>
      </c>
    </row>
    <row r="290" spans="1:4" x14ac:dyDescent="0.2">
      <c r="A290">
        <v>2008</v>
      </c>
      <c r="B290">
        <v>122</v>
      </c>
      <c r="C290">
        <v>0.27152863617634942</v>
      </c>
      <c r="D290">
        <v>0.72847136382365063</v>
      </c>
    </row>
    <row r="291" spans="1:4" x14ac:dyDescent="0.2">
      <c r="A291">
        <v>2007</v>
      </c>
      <c r="B291">
        <v>122</v>
      </c>
      <c r="C291">
        <v>0.29147587363126737</v>
      </c>
      <c r="D291">
        <v>0.70852412636873263</v>
      </c>
    </row>
    <row r="292" spans="1:4" x14ac:dyDescent="0.2">
      <c r="A292">
        <v>2006</v>
      </c>
      <c r="B292">
        <v>122</v>
      </c>
      <c r="C292">
        <v>0.24340036726832986</v>
      </c>
      <c r="D292">
        <v>0.75659963273167019</v>
      </c>
    </row>
    <row r="293" spans="1:4" x14ac:dyDescent="0.2">
      <c r="A293">
        <v>2005</v>
      </c>
      <c r="B293">
        <v>122</v>
      </c>
      <c r="C293">
        <v>0.3335748119253274</v>
      </c>
      <c r="D293">
        <v>0.66642518807467255</v>
      </c>
    </row>
    <row r="294" spans="1:4" x14ac:dyDescent="0.2">
      <c r="A294">
        <v>2004</v>
      </c>
      <c r="B294">
        <v>122</v>
      </c>
      <c r="C294">
        <v>0.22766021765417171</v>
      </c>
      <c r="D294">
        <v>0.77233978234582823</v>
      </c>
    </row>
    <row r="295" spans="1:4" x14ac:dyDescent="0.2">
      <c r="A295">
        <v>2003</v>
      </c>
      <c r="B295">
        <v>122</v>
      </c>
      <c r="C295">
        <v>0.30810162991371048</v>
      </c>
      <c r="D295">
        <v>0.69189837008628952</v>
      </c>
    </row>
    <row r="296" spans="1:4" x14ac:dyDescent="0.2">
      <c r="A296">
        <v>2002</v>
      </c>
      <c r="B296">
        <v>122</v>
      </c>
      <c r="C296">
        <v>0.5292841648590022</v>
      </c>
      <c r="D296">
        <v>0.4707158351409978</v>
      </c>
    </row>
    <row r="297" spans="1:4" x14ac:dyDescent="0.2">
      <c r="A297">
        <v>2001</v>
      </c>
      <c r="B297">
        <v>122</v>
      </c>
      <c r="C297">
        <v>0.35991786447638607</v>
      </c>
      <c r="D297">
        <v>0.64008213552361393</v>
      </c>
    </row>
    <row r="298" spans="1:4" x14ac:dyDescent="0.2">
      <c r="A298">
        <v>2000</v>
      </c>
      <c r="B298">
        <v>122</v>
      </c>
      <c r="C298">
        <v>0.59012227283625029</v>
      </c>
      <c r="D298">
        <v>0.40987772716374971</v>
      </c>
    </row>
    <row r="299" spans="1:4" x14ac:dyDescent="0.2">
      <c r="A299">
        <v>1999</v>
      </c>
      <c r="B299">
        <v>122</v>
      </c>
      <c r="C299">
        <v>0.69181227127516465</v>
      </c>
      <c r="D299">
        <v>0.30818772872483535</v>
      </c>
    </row>
    <row r="300" spans="1:4" x14ac:dyDescent="0.2">
      <c r="A300">
        <v>1998</v>
      </c>
      <c r="B300">
        <v>122</v>
      </c>
      <c r="C300">
        <v>0.7088984186545163</v>
      </c>
      <c r="D300">
        <v>0.2911015813454837</v>
      </c>
    </row>
    <row r="301" spans="1:4" x14ac:dyDescent="0.2">
      <c r="A301">
        <v>1997</v>
      </c>
      <c r="B301">
        <v>122</v>
      </c>
      <c r="C301">
        <v>0.66724715338245155</v>
      </c>
      <c r="D301">
        <v>0.33275284661754845</v>
      </c>
    </row>
    <row r="302" spans="1:4" x14ac:dyDescent="0.2">
      <c r="A302">
        <v>2021</v>
      </c>
      <c r="B302">
        <v>123</v>
      </c>
      <c r="C302" t="s">
        <v>25</v>
      </c>
      <c r="D302" t="s">
        <v>25</v>
      </c>
    </row>
    <row r="303" spans="1:4" x14ac:dyDescent="0.2">
      <c r="A303">
        <v>2020</v>
      </c>
      <c r="B303">
        <v>123</v>
      </c>
      <c r="C303" t="s">
        <v>25</v>
      </c>
      <c r="D303" t="s">
        <v>25</v>
      </c>
    </row>
    <row r="304" spans="1:4" x14ac:dyDescent="0.2">
      <c r="A304">
        <v>2019</v>
      </c>
      <c r="B304">
        <v>123</v>
      </c>
      <c r="C304" t="s">
        <v>25</v>
      </c>
      <c r="D304" t="s">
        <v>25</v>
      </c>
    </row>
    <row r="305" spans="1:4" x14ac:dyDescent="0.2">
      <c r="A305">
        <v>2018</v>
      </c>
      <c r="B305">
        <v>123</v>
      </c>
      <c r="C305" t="s">
        <v>25</v>
      </c>
      <c r="D305" t="s">
        <v>25</v>
      </c>
    </row>
    <row r="306" spans="1:4" x14ac:dyDescent="0.2">
      <c r="A306">
        <v>2017</v>
      </c>
      <c r="B306">
        <v>123</v>
      </c>
      <c r="C306" t="s">
        <v>25</v>
      </c>
      <c r="D306" t="s">
        <v>25</v>
      </c>
    </row>
    <row r="307" spans="1:4" x14ac:dyDescent="0.2">
      <c r="A307">
        <v>2016</v>
      </c>
      <c r="B307">
        <v>123</v>
      </c>
      <c r="C307" t="s">
        <v>25</v>
      </c>
      <c r="D307" t="s">
        <v>25</v>
      </c>
    </row>
    <row r="308" spans="1:4" x14ac:dyDescent="0.2">
      <c r="A308">
        <v>2015</v>
      </c>
      <c r="B308">
        <v>123</v>
      </c>
      <c r="C308" t="s">
        <v>25</v>
      </c>
      <c r="D308" t="s">
        <v>25</v>
      </c>
    </row>
    <row r="309" spans="1:4" x14ac:dyDescent="0.2">
      <c r="A309">
        <v>2014</v>
      </c>
      <c r="B309">
        <v>123</v>
      </c>
      <c r="C309" t="s">
        <v>25</v>
      </c>
      <c r="D309" t="s">
        <v>25</v>
      </c>
    </row>
    <row r="310" spans="1:4" x14ac:dyDescent="0.2">
      <c r="A310">
        <v>2013</v>
      </c>
      <c r="B310">
        <v>123</v>
      </c>
      <c r="C310" t="s">
        <v>25</v>
      </c>
      <c r="D310" t="s">
        <v>25</v>
      </c>
    </row>
    <row r="311" spans="1:4" x14ac:dyDescent="0.2">
      <c r="A311">
        <v>2012</v>
      </c>
      <c r="B311">
        <v>123</v>
      </c>
      <c r="C311" t="s">
        <v>25</v>
      </c>
      <c r="D311" t="s">
        <v>25</v>
      </c>
    </row>
    <row r="312" spans="1:4" x14ac:dyDescent="0.2">
      <c r="A312">
        <v>2011</v>
      </c>
      <c r="B312">
        <v>123</v>
      </c>
      <c r="C312" t="s">
        <v>25</v>
      </c>
      <c r="D312" t="s">
        <v>25</v>
      </c>
    </row>
    <row r="313" spans="1:4" x14ac:dyDescent="0.2">
      <c r="A313">
        <v>2010</v>
      </c>
      <c r="B313">
        <v>123</v>
      </c>
      <c r="C313" t="s">
        <v>25</v>
      </c>
      <c r="D313" t="s">
        <v>25</v>
      </c>
    </row>
    <row r="314" spans="1:4" x14ac:dyDescent="0.2">
      <c r="A314">
        <v>2009</v>
      </c>
      <c r="B314">
        <v>123</v>
      </c>
      <c r="C314" t="s">
        <v>25</v>
      </c>
      <c r="D314" t="s">
        <v>25</v>
      </c>
    </row>
    <row r="315" spans="1:4" x14ac:dyDescent="0.2">
      <c r="A315">
        <v>2008</v>
      </c>
      <c r="B315">
        <v>123</v>
      </c>
      <c r="C315" t="s">
        <v>25</v>
      </c>
      <c r="D315" t="s">
        <v>25</v>
      </c>
    </row>
    <row r="316" spans="1:4" x14ac:dyDescent="0.2">
      <c r="A316">
        <v>2007</v>
      </c>
      <c r="B316">
        <v>123</v>
      </c>
      <c r="C316" t="s">
        <v>25</v>
      </c>
      <c r="D316" t="s">
        <v>25</v>
      </c>
    </row>
    <row r="317" spans="1:4" x14ac:dyDescent="0.2">
      <c r="A317">
        <v>2006</v>
      </c>
      <c r="B317">
        <v>123</v>
      </c>
      <c r="C317" t="s">
        <v>25</v>
      </c>
      <c r="D317" t="s">
        <v>25</v>
      </c>
    </row>
    <row r="318" spans="1:4" x14ac:dyDescent="0.2">
      <c r="A318">
        <v>2005</v>
      </c>
      <c r="B318">
        <v>123</v>
      </c>
      <c r="C318" t="s">
        <v>25</v>
      </c>
      <c r="D318" t="s">
        <v>25</v>
      </c>
    </row>
    <row r="319" spans="1:4" x14ac:dyDescent="0.2">
      <c r="A319">
        <v>2004</v>
      </c>
      <c r="B319">
        <v>123</v>
      </c>
      <c r="C319" t="s">
        <v>25</v>
      </c>
      <c r="D319" t="s">
        <v>25</v>
      </c>
    </row>
    <row r="320" spans="1:4" x14ac:dyDescent="0.2">
      <c r="A320">
        <v>2003</v>
      </c>
      <c r="B320">
        <v>123</v>
      </c>
      <c r="C320" t="s">
        <v>25</v>
      </c>
      <c r="D320" t="s">
        <v>25</v>
      </c>
    </row>
    <row r="321" spans="1:4" x14ac:dyDescent="0.2">
      <c r="A321">
        <v>2002</v>
      </c>
      <c r="B321">
        <v>123</v>
      </c>
      <c r="C321">
        <v>0.23870967741935484</v>
      </c>
      <c r="D321">
        <v>0.76129032258064511</v>
      </c>
    </row>
    <row r="322" spans="1:4" x14ac:dyDescent="0.2">
      <c r="A322">
        <v>2001</v>
      </c>
      <c r="B322">
        <v>123</v>
      </c>
      <c r="C322" t="s">
        <v>25</v>
      </c>
      <c r="D322" t="s">
        <v>25</v>
      </c>
    </row>
    <row r="323" spans="1:4" x14ac:dyDescent="0.2">
      <c r="A323">
        <v>2000</v>
      </c>
      <c r="B323">
        <v>123</v>
      </c>
      <c r="C323" t="s">
        <v>25</v>
      </c>
      <c r="D323" t="s">
        <v>25</v>
      </c>
    </row>
    <row r="324" spans="1:4" x14ac:dyDescent="0.2">
      <c r="A324">
        <v>1999</v>
      </c>
      <c r="B324">
        <v>123</v>
      </c>
      <c r="C324" t="s">
        <v>25</v>
      </c>
      <c r="D324" t="s">
        <v>25</v>
      </c>
    </row>
    <row r="325" spans="1:4" x14ac:dyDescent="0.2">
      <c r="A325">
        <v>1998</v>
      </c>
      <c r="B325">
        <v>123</v>
      </c>
      <c r="C325" t="s">
        <v>25</v>
      </c>
      <c r="D325" t="s">
        <v>25</v>
      </c>
    </row>
    <row r="326" spans="1:4" x14ac:dyDescent="0.2">
      <c r="A326">
        <v>1997</v>
      </c>
      <c r="B326">
        <v>123</v>
      </c>
      <c r="C326" t="s">
        <v>25</v>
      </c>
      <c r="D326" t="s">
        <v>25</v>
      </c>
    </row>
    <row r="327" spans="1:4" x14ac:dyDescent="0.2">
      <c r="A327">
        <v>2021</v>
      </c>
      <c r="B327">
        <v>124</v>
      </c>
      <c r="C327" t="s">
        <v>25</v>
      </c>
      <c r="D327" t="s">
        <v>25</v>
      </c>
    </row>
    <row r="328" spans="1:4" x14ac:dyDescent="0.2">
      <c r="A328">
        <v>2020</v>
      </c>
      <c r="B328">
        <v>124</v>
      </c>
      <c r="C328" t="s">
        <v>25</v>
      </c>
      <c r="D328" t="s">
        <v>25</v>
      </c>
    </row>
    <row r="329" spans="1:4" x14ac:dyDescent="0.2">
      <c r="A329">
        <v>2019</v>
      </c>
      <c r="B329">
        <v>124</v>
      </c>
      <c r="C329" t="s">
        <v>25</v>
      </c>
      <c r="D329" t="s">
        <v>25</v>
      </c>
    </row>
    <row r="330" spans="1:4" x14ac:dyDescent="0.2">
      <c r="A330">
        <v>2018</v>
      </c>
      <c r="B330">
        <v>124</v>
      </c>
      <c r="C330" t="s">
        <v>25</v>
      </c>
      <c r="D330" t="s">
        <v>25</v>
      </c>
    </row>
    <row r="331" spans="1:4" x14ac:dyDescent="0.2">
      <c r="A331">
        <v>2017</v>
      </c>
      <c r="B331">
        <v>124</v>
      </c>
      <c r="C331" t="s">
        <v>25</v>
      </c>
      <c r="D331" t="s">
        <v>25</v>
      </c>
    </row>
    <row r="332" spans="1:4" x14ac:dyDescent="0.2">
      <c r="A332">
        <v>2016</v>
      </c>
      <c r="B332">
        <v>124</v>
      </c>
      <c r="C332">
        <v>0.38232558139534889</v>
      </c>
      <c r="D332">
        <v>0.61767441860465111</v>
      </c>
    </row>
    <row r="333" spans="1:4" x14ac:dyDescent="0.2">
      <c r="A333">
        <v>2015</v>
      </c>
      <c r="B333">
        <v>124</v>
      </c>
      <c r="C333" t="s">
        <v>25</v>
      </c>
      <c r="D333" t="s">
        <v>25</v>
      </c>
    </row>
    <row r="334" spans="1:4" x14ac:dyDescent="0.2">
      <c r="A334">
        <v>2014</v>
      </c>
      <c r="B334">
        <v>124</v>
      </c>
      <c r="C334" t="s">
        <v>25</v>
      </c>
      <c r="D334" t="s">
        <v>25</v>
      </c>
    </row>
    <row r="335" spans="1:4" x14ac:dyDescent="0.2">
      <c r="A335">
        <v>2013</v>
      </c>
      <c r="B335">
        <v>124</v>
      </c>
      <c r="C335" t="s">
        <v>25</v>
      </c>
      <c r="D335" t="s">
        <v>25</v>
      </c>
    </row>
    <row r="336" spans="1:4" x14ac:dyDescent="0.2">
      <c r="A336">
        <v>2012</v>
      </c>
      <c r="B336">
        <v>124</v>
      </c>
      <c r="C336" t="s">
        <v>25</v>
      </c>
      <c r="D336" t="s">
        <v>25</v>
      </c>
    </row>
    <row r="337" spans="1:4" x14ac:dyDescent="0.2">
      <c r="A337">
        <v>2011</v>
      </c>
      <c r="B337">
        <v>124</v>
      </c>
      <c r="C337" t="s">
        <v>25</v>
      </c>
      <c r="D337" t="s">
        <v>25</v>
      </c>
    </row>
    <row r="338" spans="1:4" x14ac:dyDescent="0.2">
      <c r="A338">
        <v>2010</v>
      </c>
      <c r="B338">
        <v>124</v>
      </c>
      <c r="C338" t="s">
        <v>25</v>
      </c>
      <c r="D338" t="s">
        <v>25</v>
      </c>
    </row>
    <row r="339" spans="1:4" x14ac:dyDescent="0.2">
      <c r="A339">
        <v>2009</v>
      </c>
      <c r="B339">
        <v>124</v>
      </c>
      <c r="C339" t="s">
        <v>25</v>
      </c>
      <c r="D339" t="s">
        <v>25</v>
      </c>
    </row>
    <row r="340" spans="1:4" x14ac:dyDescent="0.2">
      <c r="A340">
        <v>2008</v>
      </c>
      <c r="B340">
        <v>124</v>
      </c>
      <c r="C340" t="s">
        <v>25</v>
      </c>
      <c r="D340" t="s">
        <v>25</v>
      </c>
    </row>
    <row r="341" spans="1:4" x14ac:dyDescent="0.2">
      <c r="A341">
        <v>2007</v>
      </c>
      <c r="B341">
        <v>124</v>
      </c>
      <c r="C341" t="s">
        <v>25</v>
      </c>
      <c r="D341" t="s">
        <v>25</v>
      </c>
    </row>
    <row r="342" spans="1:4" x14ac:dyDescent="0.2">
      <c r="A342">
        <v>2006</v>
      </c>
      <c r="B342">
        <v>124</v>
      </c>
      <c r="C342" t="s">
        <v>25</v>
      </c>
      <c r="D342" t="s">
        <v>25</v>
      </c>
    </row>
    <row r="343" spans="1:4" x14ac:dyDescent="0.2">
      <c r="A343">
        <v>2005</v>
      </c>
      <c r="B343">
        <v>124</v>
      </c>
      <c r="C343" t="s">
        <v>25</v>
      </c>
      <c r="D343" t="s">
        <v>25</v>
      </c>
    </row>
    <row r="344" spans="1:4" x14ac:dyDescent="0.2">
      <c r="A344">
        <v>2004</v>
      </c>
      <c r="B344">
        <v>124</v>
      </c>
      <c r="C344" t="s">
        <v>25</v>
      </c>
      <c r="D344" t="s">
        <v>25</v>
      </c>
    </row>
    <row r="345" spans="1:4" x14ac:dyDescent="0.2">
      <c r="A345">
        <v>2003</v>
      </c>
      <c r="B345">
        <v>124</v>
      </c>
      <c r="C345" t="s">
        <v>25</v>
      </c>
      <c r="D345" t="s">
        <v>25</v>
      </c>
    </row>
    <row r="346" spans="1:4" x14ac:dyDescent="0.2">
      <c r="A346">
        <v>2002</v>
      </c>
      <c r="B346">
        <v>124</v>
      </c>
      <c r="C346" t="s">
        <v>25</v>
      </c>
      <c r="D346" t="s">
        <v>25</v>
      </c>
    </row>
    <row r="347" spans="1:4" x14ac:dyDescent="0.2">
      <c r="A347">
        <v>2001</v>
      </c>
      <c r="B347">
        <v>124</v>
      </c>
      <c r="C347" t="s">
        <v>25</v>
      </c>
      <c r="D347" t="s">
        <v>25</v>
      </c>
    </row>
    <row r="348" spans="1:4" x14ac:dyDescent="0.2">
      <c r="A348">
        <v>2000</v>
      </c>
      <c r="B348">
        <v>124</v>
      </c>
      <c r="C348" t="s">
        <v>25</v>
      </c>
      <c r="D348" t="s">
        <v>25</v>
      </c>
    </row>
    <row r="349" spans="1:4" x14ac:dyDescent="0.2">
      <c r="A349">
        <v>1999</v>
      </c>
      <c r="B349">
        <v>124</v>
      </c>
      <c r="C349" t="s">
        <v>25</v>
      </c>
      <c r="D349" t="s">
        <v>25</v>
      </c>
    </row>
    <row r="350" spans="1:4" x14ac:dyDescent="0.2">
      <c r="A350">
        <v>1998</v>
      </c>
      <c r="B350">
        <v>124</v>
      </c>
      <c r="C350" t="s">
        <v>25</v>
      </c>
      <c r="D350" t="s">
        <v>25</v>
      </c>
    </row>
    <row r="351" spans="1:4" x14ac:dyDescent="0.2">
      <c r="A351">
        <v>1997</v>
      </c>
      <c r="B351">
        <v>124</v>
      </c>
      <c r="C351" t="s">
        <v>25</v>
      </c>
      <c r="D351" t="s">
        <v>25</v>
      </c>
    </row>
    <row r="352" spans="1:4" x14ac:dyDescent="0.2">
      <c r="A352">
        <v>2021</v>
      </c>
      <c r="B352">
        <v>125</v>
      </c>
      <c r="C352">
        <v>0.40692288114023922</v>
      </c>
      <c r="D352">
        <v>0.59307711885976078</v>
      </c>
    </row>
    <row r="353" spans="1:4" x14ac:dyDescent="0.2">
      <c r="A353">
        <v>2020</v>
      </c>
      <c r="B353">
        <v>125</v>
      </c>
      <c r="C353" t="s">
        <v>25</v>
      </c>
      <c r="D353" t="s">
        <v>25</v>
      </c>
    </row>
    <row r="354" spans="1:4" x14ac:dyDescent="0.2">
      <c r="A354">
        <v>2019</v>
      </c>
      <c r="B354">
        <v>125</v>
      </c>
      <c r="C354">
        <v>0.6626204595997035</v>
      </c>
      <c r="D354">
        <v>0.3373795404002965</v>
      </c>
    </row>
    <row r="355" spans="1:4" x14ac:dyDescent="0.2">
      <c r="A355">
        <v>2018</v>
      </c>
      <c r="B355">
        <v>125</v>
      </c>
      <c r="C355">
        <v>0.69079468655325105</v>
      </c>
      <c r="D355">
        <v>0.30920531344674895</v>
      </c>
    </row>
    <row r="356" spans="1:4" x14ac:dyDescent="0.2">
      <c r="A356">
        <v>2017</v>
      </c>
      <c r="B356">
        <v>125</v>
      </c>
      <c r="C356">
        <v>0.49671255970778311</v>
      </c>
      <c r="D356">
        <v>0.50328744029221695</v>
      </c>
    </row>
    <row r="357" spans="1:4" x14ac:dyDescent="0.2">
      <c r="A357">
        <v>2016</v>
      </c>
      <c r="B357">
        <v>125</v>
      </c>
      <c r="C357">
        <v>0.47814009661835749</v>
      </c>
      <c r="D357">
        <v>0.52185990338164245</v>
      </c>
    </row>
    <row r="358" spans="1:4" x14ac:dyDescent="0.2">
      <c r="A358">
        <v>2015</v>
      </c>
      <c r="B358">
        <v>125</v>
      </c>
      <c r="C358" t="s">
        <v>25</v>
      </c>
      <c r="D358" t="s">
        <v>25</v>
      </c>
    </row>
    <row r="359" spans="1:4" x14ac:dyDescent="0.2">
      <c r="A359">
        <v>2014</v>
      </c>
      <c r="B359">
        <v>125</v>
      </c>
      <c r="C359">
        <v>0.34938440492476064</v>
      </c>
      <c r="D359">
        <v>0.65061559507523936</v>
      </c>
    </row>
    <row r="360" spans="1:4" x14ac:dyDescent="0.2">
      <c r="A360">
        <v>2013</v>
      </c>
      <c r="B360">
        <v>125</v>
      </c>
      <c r="C360">
        <v>0.42680628272251309</v>
      </c>
      <c r="D360">
        <v>0.57319371727748691</v>
      </c>
    </row>
    <row r="361" spans="1:4" x14ac:dyDescent="0.2">
      <c r="A361">
        <v>2012</v>
      </c>
      <c r="B361">
        <v>125</v>
      </c>
      <c r="C361">
        <v>0.45313700384122924</v>
      </c>
      <c r="D361">
        <v>0.54686299615877076</v>
      </c>
    </row>
    <row r="362" spans="1:4" x14ac:dyDescent="0.2">
      <c r="A362">
        <v>2011</v>
      </c>
      <c r="B362">
        <v>125</v>
      </c>
      <c r="C362">
        <v>0.32568119891008174</v>
      </c>
      <c r="D362">
        <v>0.67431880108991826</v>
      </c>
    </row>
    <row r="363" spans="1:4" x14ac:dyDescent="0.2">
      <c r="A363">
        <v>2010</v>
      </c>
      <c r="B363">
        <v>125</v>
      </c>
      <c r="C363">
        <v>0.72005624890138864</v>
      </c>
      <c r="D363">
        <v>0.27994375109861136</v>
      </c>
    </row>
    <row r="364" spans="1:4" x14ac:dyDescent="0.2">
      <c r="A364">
        <v>2009</v>
      </c>
      <c r="B364">
        <v>125</v>
      </c>
      <c r="C364">
        <v>0.29241833982619125</v>
      </c>
      <c r="D364">
        <v>0.70758166017380875</v>
      </c>
    </row>
    <row r="365" spans="1:4" x14ac:dyDescent="0.2">
      <c r="A365">
        <v>2008</v>
      </c>
      <c r="B365">
        <v>125</v>
      </c>
      <c r="C365">
        <v>0.62320534223706181</v>
      </c>
      <c r="D365">
        <v>0.37679465776293819</v>
      </c>
    </row>
    <row r="366" spans="1:4" x14ac:dyDescent="0.2">
      <c r="A366">
        <v>2007</v>
      </c>
      <c r="B366">
        <v>125</v>
      </c>
      <c r="C366">
        <v>0.51929587000677047</v>
      </c>
      <c r="D366">
        <v>0.48070412999322953</v>
      </c>
    </row>
    <row r="367" spans="1:4" x14ac:dyDescent="0.2">
      <c r="A367">
        <v>2006</v>
      </c>
      <c r="B367">
        <v>125</v>
      </c>
      <c r="C367" t="s">
        <v>25</v>
      </c>
      <c r="D367" t="s">
        <v>25</v>
      </c>
    </row>
    <row r="368" spans="1:4" x14ac:dyDescent="0.2">
      <c r="A368">
        <v>2005</v>
      </c>
      <c r="B368">
        <v>125</v>
      </c>
      <c r="C368">
        <v>0.65270674515101812</v>
      </c>
      <c r="D368">
        <v>0.34729325484898188</v>
      </c>
    </row>
    <row r="369" spans="1:4" x14ac:dyDescent="0.2">
      <c r="A369">
        <v>2004</v>
      </c>
      <c r="B369">
        <v>125</v>
      </c>
      <c r="C369">
        <v>0.64460431654676265</v>
      </c>
      <c r="D369">
        <v>0.35539568345323735</v>
      </c>
    </row>
    <row r="370" spans="1:4" x14ac:dyDescent="0.2">
      <c r="A370">
        <v>2003</v>
      </c>
      <c r="B370">
        <v>125</v>
      </c>
      <c r="C370">
        <v>0.67950958286358509</v>
      </c>
      <c r="D370">
        <v>0.32049041713641491</v>
      </c>
    </row>
    <row r="371" spans="1:4" x14ac:dyDescent="0.2">
      <c r="A371">
        <v>2002</v>
      </c>
      <c r="B371">
        <v>125</v>
      </c>
      <c r="C371">
        <v>0.49843478260869567</v>
      </c>
      <c r="D371">
        <v>0.50156521739130433</v>
      </c>
    </row>
    <row r="372" spans="1:4" x14ac:dyDescent="0.2">
      <c r="A372">
        <v>2001</v>
      </c>
      <c r="B372">
        <v>125</v>
      </c>
      <c r="C372" t="s">
        <v>25</v>
      </c>
      <c r="D372" t="s">
        <v>25</v>
      </c>
    </row>
    <row r="373" spans="1:4" x14ac:dyDescent="0.2">
      <c r="A373">
        <v>2000</v>
      </c>
      <c r="B373">
        <v>125</v>
      </c>
      <c r="C373" t="s">
        <v>25</v>
      </c>
      <c r="D373" t="s">
        <v>25</v>
      </c>
    </row>
    <row r="374" spans="1:4" x14ac:dyDescent="0.2">
      <c r="A374">
        <v>1999</v>
      </c>
      <c r="B374">
        <v>125</v>
      </c>
      <c r="C374">
        <v>0.50967741935483868</v>
      </c>
      <c r="D374">
        <v>0.49032258064516132</v>
      </c>
    </row>
    <row r="375" spans="1:4" x14ac:dyDescent="0.2">
      <c r="A375">
        <v>1998</v>
      </c>
      <c r="B375">
        <v>125</v>
      </c>
      <c r="C375" t="s">
        <v>25</v>
      </c>
      <c r="D375" t="s">
        <v>25</v>
      </c>
    </row>
    <row r="376" spans="1:4" x14ac:dyDescent="0.2">
      <c r="A376">
        <v>1997</v>
      </c>
      <c r="B376">
        <v>125</v>
      </c>
      <c r="C376">
        <v>0.61428571428571432</v>
      </c>
      <c r="D376">
        <v>0.38571428571428568</v>
      </c>
    </row>
    <row r="377" spans="1:4" x14ac:dyDescent="0.2">
      <c r="A377">
        <v>2021</v>
      </c>
      <c r="B377">
        <v>126</v>
      </c>
      <c r="C377">
        <v>0.70540361502791715</v>
      </c>
      <c r="D377">
        <v>0.29459638497208285</v>
      </c>
    </row>
    <row r="378" spans="1:4" x14ac:dyDescent="0.2">
      <c r="A378">
        <v>2020</v>
      </c>
      <c r="B378">
        <v>126</v>
      </c>
      <c r="C378">
        <v>0.49009221531203095</v>
      </c>
      <c r="D378">
        <v>0.50990778468796905</v>
      </c>
    </row>
    <row r="379" spans="1:4" x14ac:dyDescent="0.2">
      <c r="A379">
        <v>2019</v>
      </c>
      <c r="B379">
        <v>126</v>
      </c>
      <c r="C379">
        <v>0.55346212285652263</v>
      </c>
      <c r="D379">
        <v>0.44653787714347737</v>
      </c>
    </row>
    <row r="380" spans="1:4" x14ac:dyDescent="0.2">
      <c r="A380">
        <v>2018</v>
      </c>
      <c r="B380">
        <v>126</v>
      </c>
      <c r="C380" t="s">
        <v>25</v>
      </c>
      <c r="D380" t="s">
        <v>25</v>
      </c>
    </row>
    <row r="381" spans="1:4" x14ac:dyDescent="0.2">
      <c r="A381">
        <v>2017</v>
      </c>
      <c r="B381">
        <v>126</v>
      </c>
      <c r="C381">
        <v>0.49348025711662075</v>
      </c>
      <c r="D381">
        <v>0.5065197428833792</v>
      </c>
    </row>
    <row r="382" spans="1:4" x14ac:dyDescent="0.2">
      <c r="A382">
        <v>2016</v>
      </c>
      <c r="B382">
        <v>126</v>
      </c>
      <c r="C382">
        <v>0.4963478260869566</v>
      </c>
      <c r="D382">
        <v>0.5036521739130434</v>
      </c>
    </row>
    <row r="383" spans="1:4" x14ac:dyDescent="0.2">
      <c r="A383">
        <v>2015</v>
      </c>
      <c r="B383">
        <v>126</v>
      </c>
      <c r="C383">
        <v>0.49141072358146803</v>
      </c>
      <c r="D383">
        <v>0.50858927641853202</v>
      </c>
    </row>
    <row r="384" spans="1:4" x14ac:dyDescent="0.2">
      <c r="A384">
        <v>2014</v>
      </c>
      <c r="B384">
        <v>126</v>
      </c>
      <c r="C384">
        <v>0.47185398655139288</v>
      </c>
      <c r="D384">
        <v>0.52814601344860712</v>
      </c>
    </row>
    <row r="385" spans="1:4" x14ac:dyDescent="0.2">
      <c r="A385">
        <v>2013</v>
      </c>
      <c r="B385">
        <v>126</v>
      </c>
      <c r="C385">
        <v>0.55005917159763307</v>
      </c>
      <c r="D385">
        <v>0.44994082840236693</v>
      </c>
    </row>
    <row r="386" spans="1:4" x14ac:dyDescent="0.2">
      <c r="A386">
        <v>2012</v>
      </c>
      <c r="B386">
        <v>126</v>
      </c>
      <c r="C386">
        <v>0.29467734338200657</v>
      </c>
      <c r="D386">
        <v>0.70532265661799343</v>
      </c>
    </row>
    <row r="387" spans="1:4" x14ac:dyDescent="0.2">
      <c r="A387">
        <v>2011</v>
      </c>
      <c r="B387">
        <v>126</v>
      </c>
      <c r="C387">
        <v>0.31764705882352939</v>
      </c>
      <c r="D387">
        <v>0.68235294117647061</v>
      </c>
    </row>
    <row r="388" spans="1:4" x14ac:dyDescent="0.2">
      <c r="A388">
        <v>2010</v>
      </c>
      <c r="B388">
        <v>126</v>
      </c>
      <c r="C388">
        <v>0.36861812163839469</v>
      </c>
      <c r="D388">
        <v>0.63138187836160531</v>
      </c>
    </row>
    <row r="389" spans="1:4" x14ac:dyDescent="0.2">
      <c r="A389">
        <v>2009</v>
      </c>
      <c r="B389">
        <v>126</v>
      </c>
      <c r="C389">
        <v>0.55791962174940901</v>
      </c>
      <c r="D389">
        <v>0.44208037825059099</v>
      </c>
    </row>
    <row r="390" spans="1:4" x14ac:dyDescent="0.2">
      <c r="A390">
        <v>2008</v>
      </c>
      <c r="B390">
        <v>126</v>
      </c>
      <c r="C390">
        <v>0.52496837844674937</v>
      </c>
      <c r="D390">
        <v>0.47503162155325063</v>
      </c>
    </row>
    <row r="391" spans="1:4" x14ac:dyDescent="0.2">
      <c r="A391">
        <v>2007</v>
      </c>
      <c r="B391">
        <v>126</v>
      </c>
      <c r="C391">
        <v>0.78773461033444037</v>
      </c>
      <c r="D391">
        <v>0.21226538966555963</v>
      </c>
    </row>
    <row r="392" spans="1:4" x14ac:dyDescent="0.2">
      <c r="A392">
        <v>2006</v>
      </c>
      <c r="B392">
        <v>126</v>
      </c>
      <c r="C392">
        <v>0.51036585365853659</v>
      </c>
      <c r="D392">
        <v>0.48963414634146341</v>
      </c>
    </row>
    <row r="393" spans="1:4" x14ac:dyDescent="0.2">
      <c r="A393">
        <v>2005</v>
      </c>
      <c r="B393">
        <v>126</v>
      </c>
      <c r="C393">
        <v>0.52343609697695304</v>
      </c>
      <c r="D393">
        <v>0.47656390302304696</v>
      </c>
    </row>
    <row r="394" spans="1:4" x14ac:dyDescent="0.2">
      <c r="A394">
        <v>2004</v>
      </c>
      <c r="B394">
        <v>126</v>
      </c>
      <c r="C394" t="s">
        <v>25</v>
      </c>
      <c r="D394" t="s">
        <v>25</v>
      </c>
    </row>
    <row r="395" spans="1:4" x14ac:dyDescent="0.2">
      <c r="A395">
        <v>2003</v>
      </c>
      <c r="B395">
        <v>126</v>
      </c>
      <c r="C395">
        <v>0.7347300564061241</v>
      </c>
      <c r="D395">
        <v>0.2652699435938759</v>
      </c>
    </row>
    <row r="396" spans="1:4" x14ac:dyDescent="0.2">
      <c r="A396">
        <v>2002</v>
      </c>
      <c r="B396">
        <v>126</v>
      </c>
      <c r="C396">
        <v>0.69683257918552033</v>
      </c>
      <c r="D396">
        <v>0.30316742081447967</v>
      </c>
    </row>
    <row r="397" spans="1:4" x14ac:dyDescent="0.2">
      <c r="A397">
        <v>2001</v>
      </c>
      <c r="B397">
        <v>126</v>
      </c>
      <c r="C397">
        <v>0.42689075630252105</v>
      </c>
      <c r="D397">
        <v>0.57310924369747895</v>
      </c>
    </row>
    <row r="398" spans="1:4" x14ac:dyDescent="0.2">
      <c r="A398">
        <v>2000</v>
      </c>
      <c r="B398">
        <v>126</v>
      </c>
      <c r="C398">
        <v>0.40212765957446805</v>
      </c>
      <c r="D398">
        <v>0.59787234042553195</v>
      </c>
    </row>
    <row r="399" spans="1:4" x14ac:dyDescent="0.2">
      <c r="A399">
        <v>1999</v>
      </c>
      <c r="B399">
        <v>126</v>
      </c>
      <c r="C399">
        <v>0.64470588235294124</v>
      </c>
      <c r="D399">
        <v>0.35529411764705876</v>
      </c>
    </row>
    <row r="400" spans="1:4" x14ac:dyDescent="0.2">
      <c r="A400">
        <v>1998</v>
      </c>
      <c r="B400">
        <v>126</v>
      </c>
      <c r="C400">
        <v>0.6752688172043011</v>
      </c>
      <c r="D400">
        <v>0.3247311827956989</v>
      </c>
    </row>
    <row r="401" spans="1:4" x14ac:dyDescent="0.2">
      <c r="A401">
        <v>1997</v>
      </c>
      <c r="B401">
        <v>126</v>
      </c>
      <c r="C401">
        <v>0.62798165137614681</v>
      </c>
      <c r="D401">
        <v>0.37201834862385319</v>
      </c>
    </row>
    <row r="402" spans="1:4" x14ac:dyDescent="0.2">
      <c r="A402">
        <v>2021</v>
      </c>
      <c r="B402">
        <v>127</v>
      </c>
      <c r="C402" t="s">
        <v>25</v>
      </c>
      <c r="D402" t="s">
        <v>25</v>
      </c>
    </row>
    <row r="403" spans="1:4" x14ac:dyDescent="0.2">
      <c r="A403">
        <v>2020</v>
      </c>
      <c r="B403">
        <v>127</v>
      </c>
      <c r="C403" t="s">
        <v>25</v>
      </c>
      <c r="D403" t="s">
        <v>25</v>
      </c>
    </row>
    <row r="404" spans="1:4" x14ac:dyDescent="0.2">
      <c r="A404">
        <v>2019</v>
      </c>
      <c r="B404">
        <v>127</v>
      </c>
      <c r="C404">
        <v>0.35884115884115886</v>
      </c>
      <c r="D404">
        <v>0.64115884115884114</v>
      </c>
    </row>
    <row r="405" spans="1:4" x14ac:dyDescent="0.2">
      <c r="A405">
        <v>2018</v>
      </c>
      <c r="B405">
        <v>127</v>
      </c>
      <c r="C405" t="s">
        <v>25</v>
      </c>
      <c r="D405" t="s">
        <v>25</v>
      </c>
    </row>
    <row r="406" spans="1:4" x14ac:dyDescent="0.2">
      <c r="A406">
        <v>2017</v>
      </c>
      <c r="B406">
        <v>127</v>
      </c>
      <c r="C406">
        <v>0.49461077844311385</v>
      </c>
      <c r="D406">
        <v>0.50538922155688615</v>
      </c>
    </row>
    <row r="407" spans="1:4" x14ac:dyDescent="0.2">
      <c r="A407">
        <v>2016</v>
      </c>
      <c r="B407">
        <v>127</v>
      </c>
      <c r="C407" t="s">
        <v>25</v>
      </c>
      <c r="D407" t="s">
        <v>25</v>
      </c>
    </row>
    <row r="408" spans="1:4" x14ac:dyDescent="0.2">
      <c r="A408">
        <v>2015</v>
      </c>
      <c r="B408">
        <v>127</v>
      </c>
      <c r="C408" t="s">
        <v>25</v>
      </c>
      <c r="D408" t="s">
        <v>25</v>
      </c>
    </row>
    <row r="409" spans="1:4" x14ac:dyDescent="0.2">
      <c r="A409">
        <v>2014</v>
      </c>
      <c r="B409">
        <v>127</v>
      </c>
      <c r="C409">
        <v>0.6608923884514436</v>
      </c>
      <c r="D409">
        <v>0.3391076115485564</v>
      </c>
    </row>
    <row r="410" spans="1:4" x14ac:dyDescent="0.2">
      <c r="A410">
        <v>2013</v>
      </c>
      <c r="B410">
        <v>127</v>
      </c>
      <c r="C410" t="s">
        <v>25</v>
      </c>
      <c r="D410" t="s">
        <v>25</v>
      </c>
    </row>
    <row r="411" spans="1:4" x14ac:dyDescent="0.2">
      <c r="A411">
        <v>2012</v>
      </c>
      <c r="B411">
        <v>127</v>
      </c>
      <c r="C411" t="s">
        <v>25</v>
      </c>
      <c r="D411" t="s">
        <v>25</v>
      </c>
    </row>
    <row r="412" spans="1:4" x14ac:dyDescent="0.2">
      <c r="A412">
        <v>2011</v>
      </c>
      <c r="B412">
        <v>127</v>
      </c>
      <c r="C412" t="s">
        <v>25</v>
      </c>
      <c r="D412" t="s">
        <v>25</v>
      </c>
    </row>
    <row r="413" spans="1:4" x14ac:dyDescent="0.2">
      <c r="A413">
        <v>2010</v>
      </c>
      <c r="B413">
        <v>127</v>
      </c>
      <c r="C413" t="s">
        <v>25</v>
      </c>
      <c r="D413" t="s">
        <v>25</v>
      </c>
    </row>
    <row r="414" spans="1:4" x14ac:dyDescent="0.2">
      <c r="A414">
        <v>2009</v>
      </c>
      <c r="B414">
        <v>127</v>
      </c>
      <c r="C414" t="s">
        <v>25</v>
      </c>
      <c r="D414" t="s">
        <v>25</v>
      </c>
    </row>
    <row r="415" spans="1:4" x14ac:dyDescent="0.2">
      <c r="A415">
        <v>2008</v>
      </c>
      <c r="B415">
        <v>127</v>
      </c>
      <c r="C415" t="s">
        <v>25</v>
      </c>
      <c r="D415" t="s">
        <v>25</v>
      </c>
    </row>
    <row r="416" spans="1:4" x14ac:dyDescent="0.2">
      <c r="A416">
        <v>2007</v>
      </c>
      <c r="B416">
        <v>127</v>
      </c>
      <c r="C416" t="s">
        <v>25</v>
      </c>
      <c r="D416" t="s">
        <v>25</v>
      </c>
    </row>
    <row r="417" spans="1:4" x14ac:dyDescent="0.2">
      <c r="A417">
        <v>2006</v>
      </c>
      <c r="B417">
        <v>127</v>
      </c>
      <c r="C417" t="s">
        <v>25</v>
      </c>
      <c r="D417" t="s">
        <v>25</v>
      </c>
    </row>
    <row r="418" spans="1:4" x14ac:dyDescent="0.2">
      <c r="A418">
        <v>2005</v>
      </c>
      <c r="B418">
        <v>127</v>
      </c>
      <c r="C418" t="s">
        <v>25</v>
      </c>
      <c r="D418" t="s">
        <v>25</v>
      </c>
    </row>
    <row r="419" spans="1:4" x14ac:dyDescent="0.2">
      <c r="A419">
        <v>2004</v>
      </c>
      <c r="B419">
        <v>127</v>
      </c>
      <c r="C419" t="s">
        <v>25</v>
      </c>
      <c r="D419" t="s">
        <v>25</v>
      </c>
    </row>
    <row r="420" spans="1:4" x14ac:dyDescent="0.2">
      <c r="A420">
        <v>2003</v>
      </c>
      <c r="B420">
        <v>127</v>
      </c>
      <c r="C420" t="s">
        <v>25</v>
      </c>
      <c r="D420" t="s">
        <v>25</v>
      </c>
    </row>
    <row r="421" spans="1:4" x14ac:dyDescent="0.2">
      <c r="A421">
        <v>2002</v>
      </c>
      <c r="B421">
        <v>127</v>
      </c>
      <c r="C421" t="s">
        <v>25</v>
      </c>
      <c r="D421" t="s">
        <v>25</v>
      </c>
    </row>
    <row r="422" spans="1:4" x14ac:dyDescent="0.2">
      <c r="A422">
        <v>2001</v>
      </c>
      <c r="B422">
        <v>127</v>
      </c>
      <c r="C422" t="s">
        <v>25</v>
      </c>
      <c r="D422" t="s">
        <v>25</v>
      </c>
    </row>
    <row r="423" spans="1:4" x14ac:dyDescent="0.2">
      <c r="A423">
        <v>2000</v>
      </c>
      <c r="B423">
        <v>127</v>
      </c>
      <c r="C423" t="s">
        <v>25</v>
      </c>
      <c r="D423" t="s">
        <v>25</v>
      </c>
    </row>
    <row r="424" spans="1:4" x14ac:dyDescent="0.2">
      <c r="A424">
        <v>1999</v>
      </c>
      <c r="B424">
        <v>127</v>
      </c>
      <c r="C424" t="s">
        <v>25</v>
      </c>
      <c r="D424" t="s">
        <v>25</v>
      </c>
    </row>
    <row r="425" spans="1:4" x14ac:dyDescent="0.2">
      <c r="A425">
        <v>1998</v>
      </c>
      <c r="B425">
        <v>127</v>
      </c>
      <c r="C425">
        <v>0.60486322188449859</v>
      </c>
      <c r="D425">
        <v>0.39513677811550141</v>
      </c>
    </row>
    <row r="426" spans="1:4" x14ac:dyDescent="0.2">
      <c r="A426">
        <v>1997</v>
      </c>
      <c r="B426">
        <v>127</v>
      </c>
      <c r="C426">
        <v>0.45839416058394161</v>
      </c>
      <c r="D426">
        <v>0.54160583941605833</v>
      </c>
    </row>
    <row r="427" spans="1:4" x14ac:dyDescent="0.2">
      <c r="A427">
        <v>2021</v>
      </c>
      <c r="B427">
        <v>128</v>
      </c>
      <c r="C427">
        <v>0.44803400637619556</v>
      </c>
      <c r="D427">
        <v>0.55196599362380439</v>
      </c>
    </row>
    <row r="428" spans="1:4" x14ac:dyDescent="0.2">
      <c r="A428">
        <v>2020</v>
      </c>
      <c r="B428">
        <v>128</v>
      </c>
      <c r="C428">
        <v>0.63487188806105777</v>
      </c>
      <c r="D428">
        <v>0.36512811193894223</v>
      </c>
    </row>
    <row r="429" spans="1:4" x14ac:dyDescent="0.2">
      <c r="A429">
        <v>2019</v>
      </c>
      <c r="B429">
        <v>128</v>
      </c>
      <c r="C429">
        <v>0.63611977542108555</v>
      </c>
      <c r="D429">
        <v>0.36388022457891445</v>
      </c>
    </row>
    <row r="430" spans="1:4" x14ac:dyDescent="0.2">
      <c r="A430">
        <v>2018</v>
      </c>
      <c r="B430">
        <v>128</v>
      </c>
      <c r="C430">
        <v>0.49591870185215547</v>
      </c>
      <c r="D430">
        <v>0.50408129814784453</v>
      </c>
    </row>
    <row r="431" spans="1:4" x14ac:dyDescent="0.2">
      <c r="A431">
        <v>2017</v>
      </c>
      <c r="B431">
        <v>128</v>
      </c>
      <c r="C431">
        <v>0.58677638503492502</v>
      </c>
      <c r="D431">
        <v>0.41322361496507498</v>
      </c>
    </row>
    <row r="432" spans="1:4" x14ac:dyDescent="0.2">
      <c r="A432">
        <v>2016</v>
      </c>
      <c r="B432">
        <v>128</v>
      </c>
      <c r="C432">
        <v>0.59044601511089456</v>
      </c>
      <c r="D432">
        <v>0.40955398488910544</v>
      </c>
    </row>
    <row r="433" spans="1:4" x14ac:dyDescent="0.2">
      <c r="A433">
        <v>2015</v>
      </c>
      <c r="B433">
        <v>128</v>
      </c>
      <c r="C433">
        <v>0.40693756194251735</v>
      </c>
      <c r="D433">
        <v>0.59306243805748271</v>
      </c>
    </row>
    <row r="434" spans="1:4" x14ac:dyDescent="0.2">
      <c r="A434">
        <v>2014</v>
      </c>
      <c r="B434">
        <v>128</v>
      </c>
      <c r="C434">
        <v>0.49695550351288059</v>
      </c>
      <c r="D434">
        <v>0.50304449648711946</v>
      </c>
    </row>
    <row r="435" spans="1:4" x14ac:dyDescent="0.2">
      <c r="A435">
        <v>2013</v>
      </c>
      <c r="B435">
        <v>128</v>
      </c>
      <c r="C435">
        <v>0.55600691443388073</v>
      </c>
      <c r="D435">
        <v>0.44399308556611927</v>
      </c>
    </row>
    <row r="436" spans="1:4" x14ac:dyDescent="0.2">
      <c r="A436">
        <v>2012</v>
      </c>
      <c r="B436">
        <v>128</v>
      </c>
      <c r="C436">
        <v>0.62282798442325771</v>
      </c>
      <c r="D436">
        <v>0.37717201557674229</v>
      </c>
    </row>
    <row r="437" spans="1:4" x14ac:dyDescent="0.2">
      <c r="A437">
        <v>2011</v>
      </c>
      <c r="B437">
        <v>128</v>
      </c>
      <c r="C437" t="s">
        <v>25</v>
      </c>
      <c r="D437" t="s">
        <v>25</v>
      </c>
    </row>
    <row r="438" spans="1:4" x14ac:dyDescent="0.2">
      <c r="A438">
        <v>2010</v>
      </c>
      <c r="B438">
        <v>128</v>
      </c>
      <c r="C438" t="s">
        <v>25</v>
      </c>
      <c r="D438" t="s">
        <v>25</v>
      </c>
    </row>
    <row r="439" spans="1:4" x14ac:dyDescent="0.2">
      <c r="A439">
        <v>2009</v>
      </c>
      <c r="B439">
        <v>128</v>
      </c>
      <c r="C439" t="s">
        <v>25</v>
      </c>
      <c r="D439" t="s">
        <v>25</v>
      </c>
    </row>
    <row r="440" spans="1:4" x14ac:dyDescent="0.2">
      <c r="A440">
        <v>2008</v>
      </c>
      <c r="B440">
        <v>128</v>
      </c>
      <c r="C440" t="s">
        <v>25</v>
      </c>
      <c r="D440" t="s">
        <v>25</v>
      </c>
    </row>
    <row r="441" spans="1:4" x14ac:dyDescent="0.2">
      <c r="A441">
        <v>2007</v>
      </c>
      <c r="B441">
        <v>128</v>
      </c>
      <c r="C441" t="s">
        <v>25</v>
      </c>
      <c r="D441" t="s">
        <v>25</v>
      </c>
    </row>
    <row r="442" spans="1:4" x14ac:dyDescent="0.2">
      <c r="A442">
        <v>2006</v>
      </c>
      <c r="B442">
        <v>128</v>
      </c>
      <c r="C442" t="s">
        <v>25</v>
      </c>
      <c r="D442" t="s">
        <v>25</v>
      </c>
    </row>
    <row r="443" spans="1:4" x14ac:dyDescent="0.2">
      <c r="A443">
        <v>2005</v>
      </c>
      <c r="B443">
        <v>128</v>
      </c>
      <c r="C443" t="s">
        <v>25</v>
      </c>
      <c r="D443" t="s">
        <v>25</v>
      </c>
    </row>
    <row r="444" spans="1:4" x14ac:dyDescent="0.2">
      <c r="A444">
        <v>2004</v>
      </c>
      <c r="B444">
        <v>128</v>
      </c>
      <c r="C444" t="s">
        <v>25</v>
      </c>
      <c r="D444" t="s">
        <v>25</v>
      </c>
    </row>
    <row r="445" spans="1:4" x14ac:dyDescent="0.2">
      <c r="A445">
        <v>2003</v>
      </c>
      <c r="B445">
        <v>128</v>
      </c>
      <c r="C445" t="s">
        <v>25</v>
      </c>
      <c r="D445" t="s">
        <v>25</v>
      </c>
    </row>
    <row r="446" spans="1:4" x14ac:dyDescent="0.2">
      <c r="A446">
        <v>2002</v>
      </c>
      <c r="B446">
        <v>128</v>
      </c>
      <c r="C446" t="s">
        <v>25</v>
      </c>
      <c r="D446" t="s">
        <v>25</v>
      </c>
    </row>
    <row r="447" spans="1:4" x14ac:dyDescent="0.2">
      <c r="A447">
        <v>2001</v>
      </c>
      <c r="B447">
        <v>128</v>
      </c>
      <c r="C447" t="s">
        <v>25</v>
      </c>
      <c r="D447" t="s">
        <v>25</v>
      </c>
    </row>
    <row r="448" spans="1:4" x14ac:dyDescent="0.2">
      <c r="A448">
        <v>2000</v>
      </c>
      <c r="B448">
        <v>128</v>
      </c>
      <c r="C448" t="s">
        <v>25</v>
      </c>
      <c r="D448" t="s">
        <v>25</v>
      </c>
    </row>
    <row r="449" spans="1:4" x14ac:dyDescent="0.2">
      <c r="A449">
        <v>1999</v>
      </c>
      <c r="B449">
        <v>128</v>
      </c>
      <c r="C449" t="s">
        <v>25</v>
      </c>
      <c r="D449" t="s">
        <v>25</v>
      </c>
    </row>
    <row r="450" spans="1:4" x14ac:dyDescent="0.2">
      <c r="A450">
        <v>1998</v>
      </c>
      <c r="B450">
        <v>128</v>
      </c>
      <c r="C450">
        <v>0.6148148148148147</v>
      </c>
      <c r="D450">
        <v>0.3851851851851853</v>
      </c>
    </row>
    <row r="451" spans="1:4" x14ac:dyDescent="0.2">
      <c r="A451">
        <v>1997</v>
      </c>
      <c r="B451">
        <v>128</v>
      </c>
      <c r="C451" t="s">
        <v>25</v>
      </c>
      <c r="D451" t="s">
        <v>25</v>
      </c>
    </row>
    <row r="452" spans="1:4" x14ac:dyDescent="0.2">
      <c r="A452">
        <v>2021</v>
      </c>
      <c r="B452">
        <v>300</v>
      </c>
      <c r="C452">
        <v>0.42027277862965062</v>
      </c>
      <c r="D452">
        <v>0.57972722137034938</v>
      </c>
    </row>
    <row r="453" spans="1:4" x14ac:dyDescent="0.2">
      <c r="A453">
        <v>2020</v>
      </c>
      <c r="B453">
        <v>300</v>
      </c>
      <c r="C453">
        <v>0.52912630431396979</v>
      </c>
      <c r="D453">
        <v>0.47087369568603021</v>
      </c>
    </row>
    <row r="454" spans="1:4" x14ac:dyDescent="0.2">
      <c r="A454">
        <v>2019</v>
      </c>
      <c r="B454">
        <v>300</v>
      </c>
      <c r="C454">
        <v>0.59168991337542221</v>
      </c>
      <c r="D454">
        <v>0.40831008662457779</v>
      </c>
    </row>
    <row r="455" spans="1:4" x14ac:dyDescent="0.2">
      <c r="A455">
        <v>2018</v>
      </c>
      <c r="B455">
        <v>300</v>
      </c>
      <c r="C455">
        <v>0.43740707529432188</v>
      </c>
      <c r="D455">
        <v>0.56259292470567812</v>
      </c>
    </row>
    <row r="456" spans="1:4" x14ac:dyDescent="0.2">
      <c r="A456">
        <v>2017</v>
      </c>
      <c r="B456">
        <v>300</v>
      </c>
      <c r="C456">
        <v>0.58026394395264225</v>
      </c>
      <c r="D456">
        <v>0.41973605604735775</v>
      </c>
    </row>
    <row r="457" spans="1:4" x14ac:dyDescent="0.2">
      <c r="A457">
        <v>2016</v>
      </c>
      <c r="B457">
        <v>300</v>
      </c>
      <c r="C457">
        <v>0.64170874846458315</v>
      </c>
      <c r="D457">
        <v>0.35829125153541685</v>
      </c>
    </row>
    <row r="458" spans="1:4" x14ac:dyDescent="0.2">
      <c r="A458">
        <v>2015</v>
      </c>
      <c r="B458">
        <v>300</v>
      </c>
      <c r="C458">
        <v>0.50408764121876071</v>
      </c>
      <c r="D458">
        <v>0.49591235878123929</v>
      </c>
    </row>
    <row r="459" spans="1:4" x14ac:dyDescent="0.2">
      <c r="A459">
        <v>2014</v>
      </c>
      <c r="B459">
        <v>300</v>
      </c>
      <c r="C459">
        <v>0.4809861390329066</v>
      </c>
      <c r="D459">
        <v>0.51901386096709334</v>
      </c>
    </row>
    <row r="460" spans="1:4" x14ac:dyDescent="0.2">
      <c r="A460">
        <v>2013</v>
      </c>
      <c r="B460">
        <v>300</v>
      </c>
      <c r="C460">
        <v>0.4077416203675438</v>
      </c>
      <c r="D460">
        <v>0.5922583796324562</v>
      </c>
    </row>
    <row r="461" spans="1:4" x14ac:dyDescent="0.2">
      <c r="A461">
        <v>2012</v>
      </c>
      <c r="B461">
        <v>300</v>
      </c>
      <c r="C461">
        <v>0.52899986551306766</v>
      </c>
      <c r="D461">
        <v>0.47100013448693234</v>
      </c>
    </row>
    <row r="462" spans="1:4" x14ac:dyDescent="0.2">
      <c r="A462">
        <v>2011</v>
      </c>
      <c r="B462">
        <v>300</v>
      </c>
      <c r="C462">
        <v>0.43694312157426546</v>
      </c>
      <c r="D462">
        <v>0.5630568784257346</v>
      </c>
    </row>
    <row r="463" spans="1:4" x14ac:dyDescent="0.2">
      <c r="A463">
        <v>2010</v>
      </c>
      <c r="B463">
        <v>300</v>
      </c>
      <c r="C463">
        <v>0.42208196121478231</v>
      </c>
      <c r="D463">
        <v>0.57791803878521764</v>
      </c>
    </row>
    <row r="464" spans="1:4" x14ac:dyDescent="0.2">
      <c r="A464">
        <v>2009</v>
      </c>
      <c r="B464">
        <v>300</v>
      </c>
      <c r="C464">
        <v>0.47522935779816516</v>
      </c>
      <c r="D464">
        <v>0.52477064220183478</v>
      </c>
    </row>
    <row r="465" spans="1:4" x14ac:dyDescent="0.2">
      <c r="A465">
        <v>2008</v>
      </c>
      <c r="B465">
        <v>300</v>
      </c>
      <c r="C465">
        <v>0.43616880733944952</v>
      </c>
      <c r="D465">
        <v>0.56383119266055048</v>
      </c>
    </row>
    <row r="466" spans="1:4" x14ac:dyDescent="0.2">
      <c r="A466">
        <v>2007</v>
      </c>
      <c r="B466">
        <v>300</v>
      </c>
      <c r="C466">
        <v>0.4194178668546682</v>
      </c>
      <c r="D466">
        <v>0.5805821331453318</v>
      </c>
    </row>
    <row r="467" spans="1:4" x14ac:dyDescent="0.2">
      <c r="A467">
        <v>2006</v>
      </c>
      <c r="B467">
        <v>300</v>
      </c>
      <c r="C467">
        <v>0.47898063743429364</v>
      </c>
      <c r="D467">
        <v>0.52101936256570636</v>
      </c>
    </row>
    <row r="468" spans="1:4" x14ac:dyDescent="0.2">
      <c r="A468">
        <v>2005</v>
      </c>
      <c r="B468">
        <v>300</v>
      </c>
      <c r="C468">
        <v>0.58328622816032893</v>
      </c>
      <c r="D468">
        <v>0.41671377183967107</v>
      </c>
    </row>
    <row r="469" spans="1:4" x14ac:dyDescent="0.2">
      <c r="A469">
        <v>2004</v>
      </c>
      <c r="B469">
        <v>300</v>
      </c>
      <c r="C469">
        <v>0.60197016067329767</v>
      </c>
      <c r="D469">
        <v>0.39802983932670233</v>
      </c>
    </row>
    <row r="470" spans="1:4" x14ac:dyDescent="0.2">
      <c r="A470">
        <v>2003</v>
      </c>
      <c r="B470">
        <v>300</v>
      </c>
      <c r="C470">
        <v>0.57613942128575579</v>
      </c>
      <c r="D470">
        <v>0.42386057871424421</v>
      </c>
    </row>
    <row r="471" spans="1:4" x14ac:dyDescent="0.2">
      <c r="A471">
        <v>2002</v>
      </c>
      <c r="B471">
        <v>300</v>
      </c>
      <c r="C471">
        <v>0.57338639903097421</v>
      </c>
      <c r="D471">
        <v>0.42661360096902579</v>
      </c>
    </row>
    <row r="472" spans="1:4" x14ac:dyDescent="0.2">
      <c r="A472">
        <v>2001</v>
      </c>
      <c r="B472">
        <v>300</v>
      </c>
      <c r="C472">
        <v>0.46317907444668011</v>
      </c>
      <c r="D472">
        <v>0.53682092555331984</v>
      </c>
    </row>
    <row r="473" spans="1:4" x14ac:dyDescent="0.2">
      <c r="A473">
        <v>2000</v>
      </c>
      <c r="B473">
        <v>300</v>
      </c>
      <c r="C473">
        <v>0.463056768558952</v>
      </c>
      <c r="D473">
        <v>0.53694323144104805</v>
      </c>
    </row>
    <row r="474" spans="1:4" x14ac:dyDescent="0.2">
      <c r="A474">
        <v>1999</v>
      </c>
      <c r="B474">
        <v>300</v>
      </c>
      <c r="C474">
        <v>0.53242300987797797</v>
      </c>
      <c r="D474">
        <v>0.46757699012202203</v>
      </c>
    </row>
    <row r="475" spans="1:4" x14ac:dyDescent="0.2">
      <c r="A475">
        <v>1998</v>
      </c>
      <c r="B475">
        <v>300</v>
      </c>
      <c r="C475">
        <v>0.54629156010230173</v>
      </c>
      <c r="D475">
        <v>0.45370843989769827</v>
      </c>
    </row>
    <row r="476" spans="1:4" x14ac:dyDescent="0.2">
      <c r="A476">
        <v>1997</v>
      </c>
      <c r="B476">
        <v>300</v>
      </c>
      <c r="C476">
        <v>0.53839535383953541</v>
      </c>
      <c r="D476">
        <v>0.46160464616046459</v>
      </c>
    </row>
    <row r="477" spans="1:4" x14ac:dyDescent="0.2">
      <c r="A477">
        <v>2021</v>
      </c>
      <c r="B477">
        <v>301</v>
      </c>
      <c r="C477" t="s">
        <v>25</v>
      </c>
      <c r="D477" t="s">
        <v>25</v>
      </c>
    </row>
    <row r="478" spans="1:4" x14ac:dyDescent="0.2">
      <c r="A478">
        <v>2020</v>
      </c>
      <c r="B478">
        <v>301</v>
      </c>
      <c r="C478" t="s">
        <v>25</v>
      </c>
      <c r="D478" t="s">
        <v>25</v>
      </c>
    </row>
    <row r="479" spans="1:4" x14ac:dyDescent="0.2">
      <c r="A479">
        <v>2019</v>
      </c>
      <c r="B479">
        <v>301</v>
      </c>
      <c r="C479">
        <v>0.28545564272782137</v>
      </c>
      <c r="D479">
        <v>0.71454435727217858</v>
      </c>
    </row>
    <row r="480" spans="1:4" x14ac:dyDescent="0.2">
      <c r="A480">
        <v>2018</v>
      </c>
      <c r="B480">
        <v>301</v>
      </c>
      <c r="C480" t="s">
        <v>25</v>
      </c>
      <c r="D480" t="s">
        <v>25</v>
      </c>
    </row>
    <row r="481" spans="1:4" x14ac:dyDescent="0.2">
      <c r="A481">
        <v>2017</v>
      </c>
      <c r="B481">
        <v>301</v>
      </c>
      <c r="C481" t="s">
        <v>25</v>
      </c>
      <c r="D481" t="s">
        <v>25</v>
      </c>
    </row>
    <row r="482" spans="1:4" x14ac:dyDescent="0.2">
      <c r="A482">
        <v>2016</v>
      </c>
      <c r="B482">
        <v>301</v>
      </c>
      <c r="C482">
        <v>0.43731343283582091</v>
      </c>
      <c r="D482">
        <v>0.56268656716417909</v>
      </c>
    </row>
    <row r="483" spans="1:4" x14ac:dyDescent="0.2">
      <c r="A483">
        <v>2015</v>
      </c>
      <c r="B483">
        <v>301</v>
      </c>
      <c r="C483">
        <v>0.58461538461538465</v>
      </c>
      <c r="D483">
        <v>0.41538461538461535</v>
      </c>
    </row>
    <row r="484" spans="1:4" x14ac:dyDescent="0.2">
      <c r="A484">
        <v>2014</v>
      </c>
      <c r="B484">
        <v>301</v>
      </c>
      <c r="C484">
        <v>0.70082644628099178</v>
      </c>
      <c r="D484">
        <v>0.29917355371900822</v>
      </c>
    </row>
    <row r="485" spans="1:4" x14ac:dyDescent="0.2">
      <c r="A485">
        <v>2013</v>
      </c>
      <c r="B485">
        <v>301</v>
      </c>
      <c r="C485">
        <v>0.57111308993766696</v>
      </c>
      <c r="D485">
        <v>0.42888691006233304</v>
      </c>
    </row>
    <row r="486" spans="1:4" x14ac:dyDescent="0.2">
      <c r="A486">
        <v>2012</v>
      </c>
      <c r="B486">
        <v>301</v>
      </c>
      <c r="C486">
        <v>0.56912194661888149</v>
      </c>
      <c r="D486">
        <v>0.43087805338111851</v>
      </c>
    </row>
    <row r="487" spans="1:4" x14ac:dyDescent="0.2">
      <c r="A487">
        <v>2011</v>
      </c>
      <c r="B487">
        <v>301</v>
      </c>
      <c r="C487">
        <v>0.61852861035422346</v>
      </c>
      <c r="D487">
        <v>0.38147138964577654</v>
      </c>
    </row>
    <row r="488" spans="1:4" x14ac:dyDescent="0.2">
      <c r="A488">
        <v>2010</v>
      </c>
      <c r="B488">
        <v>301</v>
      </c>
      <c r="C488">
        <v>0.53302146255863403</v>
      </c>
      <c r="D488">
        <v>0.46697853744136597</v>
      </c>
    </row>
    <row r="489" spans="1:4" x14ac:dyDescent="0.2">
      <c r="A489">
        <v>2009</v>
      </c>
      <c r="B489">
        <v>301</v>
      </c>
      <c r="C489">
        <v>0.71420672707725386</v>
      </c>
      <c r="D489">
        <v>0.28579327292274614</v>
      </c>
    </row>
    <row r="490" spans="1:4" x14ac:dyDescent="0.2">
      <c r="A490">
        <v>2008</v>
      </c>
      <c r="B490">
        <v>301</v>
      </c>
      <c r="C490">
        <v>0.46923325784535747</v>
      </c>
      <c r="D490">
        <v>0.53076674215464248</v>
      </c>
    </row>
    <row r="491" spans="1:4" x14ac:dyDescent="0.2">
      <c r="A491">
        <v>2007</v>
      </c>
      <c r="B491">
        <v>301</v>
      </c>
      <c r="C491">
        <v>0.68074568217125109</v>
      </c>
      <c r="D491">
        <v>0.31925431782874891</v>
      </c>
    </row>
    <row r="492" spans="1:4" x14ac:dyDescent="0.2">
      <c r="A492">
        <v>2006</v>
      </c>
      <c r="B492">
        <v>301</v>
      </c>
      <c r="C492">
        <v>0.56889740566037739</v>
      </c>
      <c r="D492">
        <v>0.43110259433962261</v>
      </c>
    </row>
    <row r="493" spans="1:4" x14ac:dyDescent="0.2">
      <c r="A493">
        <v>2005</v>
      </c>
      <c r="B493">
        <v>301</v>
      </c>
      <c r="C493">
        <v>0.60798376184032477</v>
      </c>
      <c r="D493">
        <v>0.39201623815967523</v>
      </c>
    </row>
    <row r="494" spans="1:4" x14ac:dyDescent="0.2">
      <c r="A494">
        <v>2004</v>
      </c>
      <c r="B494">
        <v>301</v>
      </c>
      <c r="C494">
        <v>0.47727465086754128</v>
      </c>
      <c r="D494">
        <v>0.52272534913245872</v>
      </c>
    </row>
    <row r="495" spans="1:4" x14ac:dyDescent="0.2">
      <c r="A495">
        <v>2003</v>
      </c>
      <c r="B495">
        <v>301</v>
      </c>
      <c r="C495">
        <v>0.70270270270270274</v>
      </c>
      <c r="D495">
        <v>0.29729729729729726</v>
      </c>
    </row>
    <row r="496" spans="1:4" x14ac:dyDescent="0.2">
      <c r="A496">
        <v>2002</v>
      </c>
      <c r="B496">
        <v>301</v>
      </c>
      <c r="C496">
        <v>0.43389524382901867</v>
      </c>
      <c r="D496">
        <v>0.56610475617098133</v>
      </c>
    </row>
    <row r="497" spans="1:4" x14ac:dyDescent="0.2">
      <c r="A497">
        <v>2001</v>
      </c>
      <c r="B497">
        <v>301</v>
      </c>
      <c r="C497">
        <v>0.61045130641330159</v>
      </c>
      <c r="D497">
        <v>0.38954869358669841</v>
      </c>
    </row>
    <row r="498" spans="1:4" x14ac:dyDescent="0.2">
      <c r="A498">
        <v>2000</v>
      </c>
      <c r="B498">
        <v>301</v>
      </c>
      <c r="C498">
        <v>0.53805537669027692</v>
      </c>
      <c r="D498">
        <v>0.46194462330972308</v>
      </c>
    </row>
    <row r="499" spans="1:4" x14ac:dyDescent="0.2">
      <c r="A499">
        <v>1999</v>
      </c>
      <c r="B499">
        <v>301</v>
      </c>
      <c r="C499">
        <v>0.36104513064133015</v>
      </c>
      <c r="D499">
        <v>0.63895486935866985</v>
      </c>
    </row>
    <row r="500" spans="1:4" x14ac:dyDescent="0.2">
      <c r="A500">
        <v>1998</v>
      </c>
      <c r="B500">
        <v>301</v>
      </c>
      <c r="C500">
        <v>0.44855233853006687</v>
      </c>
      <c r="D500">
        <v>0.55144766146993307</v>
      </c>
    </row>
    <row r="501" spans="1:4" x14ac:dyDescent="0.2">
      <c r="A501">
        <v>1997</v>
      </c>
      <c r="B501">
        <v>301</v>
      </c>
      <c r="C501">
        <v>0.57467811158798277</v>
      </c>
      <c r="D501">
        <v>0.42532188841201723</v>
      </c>
    </row>
    <row r="502" spans="1:4" x14ac:dyDescent="0.2">
      <c r="A502">
        <v>2021</v>
      </c>
      <c r="B502">
        <v>302</v>
      </c>
      <c r="C502" t="s">
        <v>25</v>
      </c>
      <c r="D502" t="s">
        <v>25</v>
      </c>
    </row>
    <row r="503" spans="1:4" x14ac:dyDescent="0.2">
      <c r="A503">
        <v>2020</v>
      </c>
      <c r="B503">
        <v>302</v>
      </c>
      <c r="C503" t="s">
        <v>25</v>
      </c>
      <c r="D503" t="s">
        <v>25</v>
      </c>
    </row>
    <row r="504" spans="1:4" x14ac:dyDescent="0.2">
      <c r="A504">
        <v>2019</v>
      </c>
      <c r="B504">
        <v>302</v>
      </c>
      <c r="C504">
        <v>0.62956120092378753</v>
      </c>
      <c r="D504">
        <v>0.37043879907621247</v>
      </c>
    </row>
    <row r="505" spans="1:4" x14ac:dyDescent="0.2">
      <c r="A505">
        <v>2018</v>
      </c>
      <c r="B505">
        <v>302</v>
      </c>
      <c r="C505">
        <v>0.74545454545454548</v>
      </c>
      <c r="D505">
        <v>0.25454545454545452</v>
      </c>
    </row>
    <row r="506" spans="1:4" x14ac:dyDescent="0.2">
      <c r="A506">
        <v>2017</v>
      </c>
      <c r="B506">
        <v>302</v>
      </c>
      <c r="C506" t="s">
        <v>25</v>
      </c>
      <c r="D506" t="s">
        <v>25</v>
      </c>
    </row>
    <row r="507" spans="1:4" x14ac:dyDescent="0.2">
      <c r="A507">
        <v>2016</v>
      </c>
      <c r="B507">
        <v>302</v>
      </c>
      <c r="C507">
        <v>0.76559440559440561</v>
      </c>
      <c r="D507">
        <v>0.23440559440559439</v>
      </c>
    </row>
    <row r="508" spans="1:4" x14ac:dyDescent="0.2">
      <c r="A508">
        <v>2015</v>
      </c>
      <c r="B508">
        <v>302</v>
      </c>
      <c r="C508" t="s">
        <v>25</v>
      </c>
      <c r="D508" t="s">
        <v>25</v>
      </c>
    </row>
    <row r="509" spans="1:4" x14ac:dyDescent="0.2">
      <c r="A509">
        <v>2014</v>
      </c>
      <c r="B509">
        <v>302</v>
      </c>
      <c r="C509">
        <v>0.35532910278382512</v>
      </c>
      <c r="D509">
        <v>0.64467089721617488</v>
      </c>
    </row>
    <row r="510" spans="1:4" x14ac:dyDescent="0.2">
      <c r="A510">
        <v>2013</v>
      </c>
      <c r="B510">
        <v>302</v>
      </c>
      <c r="C510">
        <v>0.49122447370495936</v>
      </c>
      <c r="D510">
        <v>0.50877552629504064</v>
      </c>
    </row>
    <row r="511" spans="1:4" x14ac:dyDescent="0.2">
      <c r="A511">
        <v>2012</v>
      </c>
      <c r="B511">
        <v>302</v>
      </c>
      <c r="C511">
        <v>0.479781793385612</v>
      </c>
      <c r="D511">
        <v>0.520218206614388</v>
      </c>
    </row>
    <row r="512" spans="1:4" x14ac:dyDescent="0.2">
      <c r="A512">
        <v>2011</v>
      </c>
      <c r="B512">
        <v>302</v>
      </c>
      <c r="C512">
        <v>0.63012536162005794</v>
      </c>
      <c r="D512">
        <v>0.36987463837994206</v>
      </c>
    </row>
    <row r="513" spans="1:4" x14ac:dyDescent="0.2">
      <c r="A513">
        <v>2010</v>
      </c>
      <c r="B513">
        <v>302</v>
      </c>
      <c r="C513">
        <v>0.69952153110047843</v>
      </c>
      <c r="D513">
        <v>0.30047846889952157</v>
      </c>
    </row>
    <row r="514" spans="1:4" x14ac:dyDescent="0.2">
      <c r="A514">
        <v>2009</v>
      </c>
      <c r="B514">
        <v>302</v>
      </c>
      <c r="C514">
        <v>0.57946141479099678</v>
      </c>
      <c r="D514">
        <v>0.42053858520900322</v>
      </c>
    </row>
    <row r="515" spans="1:4" x14ac:dyDescent="0.2">
      <c r="A515">
        <v>2008</v>
      </c>
      <c r="B515">
        <v>302</v>
      </c>
      <c r="C515">
        <v>0.47073279052553668</v>
      </c>
      <c r="D515">
        <v>0.52926720947446326</v>
      </c>
    </row>
    <row r="516" spans="1:4" x14ac:dyDescent="0.2">
      <c r="A516">
        <v>2007</v>
      </c>
      <c r="B516">
        <v>302</v>
      </c>
      <c r="C516">
        <v>0.646509635974304</v>
      </c>
      <c r="D516">
        <v>0.353490364025696</v>
      </c>
    </row>
    <row r="517" spans="1:4" x14ac:dyDescent="0.2">
      <c r="A517">
        <v>2006</v>
      </c>
      <c r="B517">
        <v>302</v>
      </c>
      <c r="C517">
        <v>0.58896177335444477</v>
      </c>
      <c r="D517">
        <v>0.41103822664555523</v>
      </c>
    </row>
    <row r="518" spans="1:4" x14ac:dyDescent="0.2">
      <c r="A518">
        <v>2005</v>
      </c>
      <c r="B518">
        <v>302</v>
      </c>
      <c r="C518">
        <v>0.67249114521841791</v>
      </c>
      <c r="D518">
        <v>0.32750885478158209</v>
      </c>
    </row>
    <row r="519" spans="1:4" x14ac:dyDescent="0.2">
      <c r="A519">
        <v>2004</v>
      </c>
      <c r="B519">
        <v>302</v>
      </c>
      <c r="C519" t="s">
        <v>25</v>
      </c>
      <c r="D519" t="s">
        <v>25</v>
      </c>
    </row>
    <row r="520" spans="1:4" x14ac:dyDescent="0.2">
      <c r="A520">
        <v>2003</v>
      </c>
      <c r="B520">
        <v>302</v>
      </c>
      <c r="C520">
        <v>0.68205771643663748</v>
      </c>
      <c r="D520">
        <v>0.31794228356336252</v>
      </c>
    </row>
    <row r="521" spans="1:4" x14ac:dyDescent="0.2">
      <c r="A521">
        <v>2002</v>
      </c>
      <c r="B521">
        <v>302</v>
      </c>
      <c r="C521">
        <v>0.70499844768705378</v>
      </c>
      <c r="D521">
        <v>0.29500155231294622</v>
      </c>
    </row>
    <row r="522" spans="1:4" x14ac:dyDescent="0.2">
      <c r="A522">
        <v>2001</v>
      </c>
      <c r="B522">
        <v>302</v>
      </c>
      <c r="C522">
        <v>0.6584579976985041</v>
      </c>
      <c r="D522">
        <v>0.3415420023014959</v>
      </c>
    </row>
    <row r="523" spans="1:4" x14ac:dyDescent="0.2">
      <c r="A523">
        <v>2000</v>
      </c>
      <c r="B523">
        <v>302</v>
      </c>
      <c r="C523">
        <v>0.78678756476683953</v>
      </c>
      <c r="D523">
        <v>0.21321243523316047</v>
      </c>
    </row>
    <row r="524" spans="1:4" x14ac:dyDescent="0.2">
      <c r="A524">
        <v>1999</v>
      </c>
      <c r="B524">
        <v>302</v>
      </c>
      <c r="C524">
        <v>0.73846153846153861</v>
      </c>
      <c r="D524">
        <v>0.26153846153846139</v>
      </c>
    </row>
    <row r="525" spans="1:4" x14ac:dyDescent="0.2">
      <c r="A525">
        <v>1998</v>
      </c>
      <c r="B525">
        <v>302</v>
      </c>
      <c r="C525">
        <v>0.6701313535122787</v>
      </c>
      <c r="D525">
        <v>0.3298686464877213</v>
      </c>
    </row>
    <row r="526" spans="1:4" x14ac:dyDescent="0.2">
      <c r="A526">
        <v>1997</v>
      </c>
      <c r="B526">
        <v>302</v>
      </c>
      <c r="C526">
        <v>0.66312056737588654</v>
      </c>
      <c r="D526">
        <v>0.33687943262411346</v>
      </c>
    </row>
    <row r="527" spans="1:4" x14ac:dyDescent="0.2">
      <c r="A527">
        <v>2021</v>
      </c>
      <c r="B527">
        <v>303</v>
      </c>
      <c r="C527">
        <v>0.52403560830860529</v>
      </c>
      <c r="D527">
        <v>0.47596439169139471</v>
      </c>
    </row>
    <row r="528" spans="1:4" x14ac:dyDescent="0.2">
      <c r="A528">
        <v>2020</v>
      </c>
      <c r="B528">
        <v>303</v>
      </c>
      <c r="C528" t="s">
        <v>25</v>
      </c>
      <c r="D528" t="s">
        <v>25</v>
      </c>
    </row>
    <row r="529" spans="1:4" x14ac:dyDescent="0.2">
      <c r="A529">
        <v>2019</v>
      </c>
      <c r="B529">
        <v>303</v>
      </c>
      <c r="C529" t="s">
        <v>25</v>
      </c>
      <c r="D529" t="s">
        <v>25</v>
      </c>
    </row>
    <row r="530" spans="1:4" x14ac:dyDescent="0.2">
      <c r="A530">
        <v>2018</v>
      </c>
      <c r="B530">
        <v>303</v>
      </c>
      <c r="C530">
        <v>0.3869943062631106</v>
      </c>
      <c r="D530">
        <v>0.6130056937368894</v>
      </c>
    </row>
    <row r="531" spans="1:4" x14ac:dyDescent="0.2">
      <c r="A531">
        <v>2017</v>
      </c>
      <c r="B531">
        <v>303</v>
      </c>
      <c r="C531">
        <v>0.46809954751131222</v>
      </c>
      <c r="D531">
        <v>0.53190045248868778</v>
      </c>
    </row>
    <row r="532" spans="1:4" x14ac:dyDescent="0.2">
      <c r="A532">
        <v>2016</v>
      </c>
      <c r="B532">
        <v>303</v>
      </c>
      <c r="C532" t="s">
        <v>25</v>
      </c>
      <c r="D532" t="s">
        <v>25</v>
      </c>
    </row>
    <row r="533" spans="1:4" x14ac:dyDescent="0.2">
      <c r="A533">
        <v>2015</v>
      </c>
      <c r="B533">
        <v>303</v>
      </c>
      <c r="C533" t="s">
        <v>25</v>
      </c>
      <c r="D533" t="s">
        <v>25</v>
      </c>
    </row>
    <row r="534" spans="1:4" x14ac:dyDescent="0.2">
      <c r="A534">
        <v>2014</v>
      </c>
      <c r="B534">
        <v>303</v>
      </c>
      <c r="C534">
        <v>0.44707489187343508</v>
      </c>
      <c r="D534">
        <v>0.55292510812656492</v>
      </c>
    </row>
    <row r="535" spans="1:4" x14ac:dyDescent="0.2">
      <c r="A535">
        <v>2013</v>
      </c>
      <c r="B535">
        <v>303</v>
      </c>
      <c r="C535" t="s">
        <v>25</v>
      </c>
      <c r="D535" t="s">
        <v>25</v>
      </c>
    </row>
    <row r="536" spans="1:4" x14ac:dyDescent="0.2">
      <c r="A536">
        <v>2012</v>
      </c>
      <c r="B536">
        <v>303</v>
      </c>
      <c r="C536">
        <v>0.52364273204903689</v>
      </c>
      <c r="D536">
        <v>0.47635726795096311</v>
      </c>
    </row>
    <row r="537" spans="1:4" x14ac:dyDescent="0.2">
      <c r="A537">
        <v>2011</v>
      </c>
      <c r="B537">
        <v>303</v>
      </c>
      <c r="C537">
        <v>0.62690058479532174</v>
      </c>
      <c r="D537">
        <v>0.37309941520467826</v>
      </c>
    </row>
    <row r="538" spans="1:4" x14ac:dyDescent="0.2">
      <c r="A538">
        <v>2010</v>
      </c>
      <c r="B538">
        <v>303</v>
      </c>
      <c r="C538">
        <v>0.53886010362694303</v>
      </c>
      <c r="D538">
        <v>0.46113989637305697</v>
      </c>
    </row>
    <row r="539" spans="1:4" x14ac:dyDescent="0.2">
      <c r="A539">
        <v>2009</v>
      </c>
      <c r="B539">
        <v>303</v>
      </c>
      <c r="C539">
        <v>0.647945205479452</v>
      </c>
      <c r="D539">
        <v>0.352054794520548</v>
      </c>
    </row>
    <row r="540" spans="1:4" x14ac:dyDescent="0.2">
      <c r="A540">
        <v>2008</v>
      </c>
      <c r="B540">
        <v>303</v>
      </c>
      <c r="C540" t="s">
        <v>25</v>
      </c>
      <c r="D540" t="s">
        <v>25</v>
      </c>
    </row>
    <row r="541" spans="1:4" x14ac:dyDescent="0.2">
      <c r="A541">
        <v>2007</v>
      </c>
      <c r="B541">
        <v>303</v>
      </c>
      <c r="C541">
        <v>0.40174443959877892</v>
      </c>
      <c r="D541">
        <v>0.59825556040122108</v>
      </c>
    </row>
    <row r="542" spans="1:4" x14ac:dyDescent="0.2">
      <c r="A542">
        <v>2006</v>
      </c>
      <c r="B542">
        <v>303</v>
      </c>
      <c r="C542">
        <v>0.50062630480167014</v>
      </c>
      <c r="D542">
        <v>0.49937369519832986</v>
      </c>
    </row>
    <row r="543" spans="1:4" x14ac:dyDescent="0.2">
      <c r="A543">
        <v>2005</v>
      </c>
      <c r="B543">
        <v>303</v>
      </c>
      <c r="C543">
        <v>0.50630339413530356</v>
      </c>
      <c r="D543">
        <v>0.49369660586469644</v>
      </c>
    </row>
    <row r="544" spans="1:4" x14ac:dyDescent="0.2">
      <c r="A544">
        <v>2004</v>
      </c>
      <c r="B544">
        <v>303</v>
      </c>
      <c r="C544">
        <v>0.58580666556126681</v>
      </c>
      <c r="D544">
        <v>0.41419333443873319</v>
      </c>
    </row>
    <row r="545" spans="1:4" x14ac:dyDescent="0.2">
      <c r="A545">
        <v>2003</v>
      </c>
      <c r="B545">
        <v>303</v>
      </c>
      <c r="C545">
        <v>0.4954097245834751</v>
      </c>
      <c r="D545">
        <v>0.5045902754165249</v>
      </c>
    </row>
    <row r="546" spans="1:4" x14ac:dyDescent="0.2">
      <c r="A546">
        <v>2002</v>
      </c>
      <c r="B546">
        <v>303</v>
      </c>
      <c r="C546">
        <v>0.44640316205533603</v>
      </c>
      <c r="D546">
        <v>0.55359683794466397</v>
      </c>
    </row>
    <row r="547" spans="1:4" x14ac:dyDescent="0.2">
      <c r="A547">
        <v>2001</v>
      </c>
      <c r="B547">
        <v>303</v>
      </c>
      <c r="C547">
        <v>0.65502092050209215</v>
      </c>
      <c r="D547">
        <v>0.34497907949790785</v>
      </c>
    </row>
    <row r="548" spans="1:4" x14ac:dyDescent="0.2">
      <c r="A548">
        <v>2000</v>
      </c>
      <c r="B548">
        <v>303</v>
      </c>
      <c r="C548">
        <v>0.62654545454545452</v>
      </c>
      <c r="D548">
        <v>0.37345454545454548</v>
      </c>
    </row>
    <row r="549" spans="1:4" x14ac:dyDescent="0.2">
      <c r="A549">
        <v>1999</v>
      </c>
      <c r="B549">
        <v>303</v>
      </c>
      <c r="C549">
        <v>0.53641975308641976</v>
      </c>
      <c r="D549">
        <v>0.46358024691358024</v>
      </c>
    </row>
    <row r="550" spans="1:4" x14ac:dyDescent="0.2">
      <c r="A550">
        <v>1998</v>
      </c>
      <c r="B550">
        <v>303</v>
      </c>
      <c r="C550">
        <v>0.51169590643274854</v>
      </c>
      <c r="D550">
        <v>0.48830409356725146</v>
      </c>
    </row>
    <row r="551" spans="1:4" x14ac:dyDescent="0.2">
      <c r="A551">
        <v>1997</v>
      </c>
      <c r="B551">
        <v>303</v>
      </c>
      <c r="C551">
        <v>0.45003819709702064</v>
      </c>
      <c r="D551">
        <v>0.54996180290297936</v>
      </c>
    </row>
    <row r="552" spans="1:4" x14ac:dyDescent="0.2">
      <c r="A552">
        <v>2021</v>
      </c>
      <c r="B552">
        <v>304</v>
      </c>
      <c r="C552">
        <v>0.34494382022471914</v>
      </c>
      <c r="D552">
        <v>0.65505617977528086</v>
      </c>
    </row>
    <row r="553" spans="1:4" x14ac:dyDescent="0.2">
      <c r="A553">
        <v>2020</v>
      </c>
      <c r="B553">
        <v>304</v>
      </c>
      <c r="C553" t="s">
        <v>25</v>
      </c>
      <c r="D553" t="s">
        <v>25</v>
      </c>
    </row>
    <row r="554" spans="1:4" x14ac:dyDescent="0.2">
      <c r="A554">
        <v>2019</v>
      </c>
      <c r="B554">
        <v>304</v>
      </c>
      <c r="C554">
        <v>0.30397946084724015</v>
      </c>
      <c r="D554">
        <v>0.69602053915275985</v>
      </c>
    </row>
    <row r="555" spans="1:4" x14ac:dyDescent="0.2">
      <c r="A555">
        <v>2018</v>
      </c>
      <c r="B555">
        <v>304</v>
      </c>
      <c r="C555" t="s">
        <v>25</v>
      </c>
      <c r="D555" t="s">
        <v>25</v>
      </c>
    </row>
    <row r="556" spans="1:4" x14ac:dyDescent="0.2">
      <c r="A556">
        <v>2017</v>
      </c>
      <c r="B556">
        <v>304</v>
      </c>
      <c r="C556">
        <v>0.22139341572787924</v>
      </c>
      <c r="D556">
        <v>0.77860658427212082</v>
      </c>
    </row>
    <row r="557" spans="1:4" x14ac:dyDescent="0.2">
      <c r="A557">
        <v>2016</v>
      </c>
      <c r="B557">
        <v>304</v>
      </c>
      <c r="C557" t="s">
        <v>25</v>
      </c>
      <c r="D557" t="s">
        <v>25</v>
      </c>
    </row>
    <row r="558" spans="1:4" x14ac:dyDescent="0.2">
      <c r="A558">
        <v>2015</v>
      </c>
      <c r="B558">
        <v>304</v>
      </c>
      <c r="C558">
        <v>0.42558392632900799</v>
      </c>
      <c r="D558">
        <v>0.57441607367099201</v>
      </c>
    </row>
    <row r="559" spans="1:4" x14ac:dyDescent="0.2">
      <c r="A559">
        <v>2014</v>
      </c>
      <c r="B559">
        <v>304</v>
      </c>
      <c r="C559">
        <v>0.25449581361485257</v>
      </c>
      <c r="D559">
        <v>0.74550418638514748</v>
      </c>
    </row>
    <row r="560" spans="1:4" x14ac:dyDescent="0.2">
      <c r="A560">
        <v>2013</v>
      </c>
      <c r="B560">
        <v>304</v>
      </c>
      <c r="C560">
        <v>0.52409664184774352</v>
      </c>
      <c r="D560">
        <v>0.47590335815225648</v>
      </c>
    </row>
    <row r="561" spans="1:4" x14ac:dyDescent="0.2">
      <c r="A561">
        <v>2012</v>
      </c>
      <c r="B561">
        <v>304</v>
      </c>
      <c r="C561">
        <v>0.62623147537049262</v>
      </c>
      <c r="D561">
        <v>0.37376852462950738</v>
      </c>
    </row>
    <row r="562" spans="1:4" x14ac:dyDescent="0.2">
      <c r="A562">
        <v>2011</v>
      </c>
      <c r="B562">
        <v>304</v>
      </c>
      <c r="C562">
        <v>0.30868152794891901</v>
      </c>
      <c r="D562">
        <v>0.69131847205108099</v>
      </c>
    </row>
    <row r="563" spans="1:4" x14ac:dyDescent="0.2">
      <c r="A563">
        <v>2010</v>
      </c>
      <c r="B563">
        <v>304</v>
      </c>
      <c r="C563">
        <v>0.47766451928565612</v>
      </c>
      <c r="D563">
        <v>0.52233548071434388</v>
      </c>
    </row>
    <row r="564" spans="1:4" x14ac:dyDescent="0.2">
      <c r="A564">
        <v>2009</v>
      </c>
      <c r="B564">
        <v>304</v>
      </c>
      <c r="C564">
        <v>0.26062407132243687</v>
      </c>
      <c r="D564">
        <v>0.73937592867756319</v>
      </c>
    </row>
    <row r="565" spans="1:4" x14ac:dyDescent="0.2">
      <c r="A565">
        <v>2008</v>
      </c>
      <c r="B565">
        <v>304</v>
      </c>
      <c r="C565">
        <v>0.36372218476062035</v>
      </c>
      <c r="D565">
        <v>0.63627781523937965</v>
      </c>
    </row>
    <row r="566" spans="1:4" x14ac:dyDescent="0.2">
      <c r="A566">
        <v>2007</v>
      </c>
      <c r="B566">
        <v>304</v>
      </c>
      <c r="C566">
        <v>0.29244652406417115</v>
      </c>
      <c r="D566">
        <v>0.70755347593582885</v>
      </c>
    </row>
    <row r="567" spans="1:4" x14ac:dyDescent="0.2">
      <c r="A567">
        <v>2006</v>
      </c>
      <c r="B567">
        <v>304</v>
      </c>
      <c r="C567">
        <v>0.34145077720207256</v>
      </c>
      <c r="D567">
        <v>0.65854922279792749</v>
      </c>
    </row>
    <row r="568" spans="1:4" x14ac:dyDescent="0.2">
      <c r="A568">
        <v>2005</v>
      </c>
      <c r="B568">
        <v>304</v>
      </c>
      <c r="C568">
        <v>0.31511423550087875</v>
      </c>
      <c r="D568">
        <v>0.68488576449912131</v>
      </c>
    </row>
    <row r="569" spans="1:4" x14ac:dyDescent="0.2">
      <c r="A569">
        <v>2004</v>
      </c>
      <c r="B569">
        <v>304</v>
      </c>
      <c r="C569">
        <v>0.3290492240453351</v>
      </c>
      <c r="D569">
        <v>0.6709507759546649</v>
      </c>
    </row>
    <row r="570" spans="1:4" x14ac:dyDescent="0.2">
      <c r="A570">
        <v>2003</v>
      </c>
      <c r="B570">
        <v>304</v>
      </c>
      <c r="C570">
        <v>0.28344370860927148</v>
      </c>
      <c r="D570">
        <v>0.71655629139072852</v>
      </c>
    </row>
    <row r="571" spans="1:4" x14ac:dyDescent="0.2">
      <c r="A571">
        <v>2002</v>
      </c>
      <c r="B571">
        <v>304</v>
      </c>
      <c r="C571" t="s">
        <v>25</v>
      </c>
      <c r="D571" t="s">
        <v>25</v>
      </c>
    </row>
    <row r="572" spans="1:4" x14ac:dyDescent="0.2">
      <c r="A572">
        <v>2001</v>
      </c>
      <c r="B572">
        <v>304</v>
      </c>
      <c r="C572" t="s">
        <v>25</v>
      </c>
      <c r="D572" t="s">
        <v>25</v>
      </c>
    </row>
    <row r="573" spans="1:4" x14ac:dyDescent="0.2">
      <c r="A573">
        <v>2000</v>
      </c>
      <c r="B573">
        <v>304</v>
      </c>
      <c r="C573">
        <v>0.57331460674157309</v>
      </c>
      <c r="D573">
        <v>0.42668539325842691</v>
      </c>
    </row>
    <row r="574" spans="1:4" x14ac:dyDescent="0.2">
      <c r="A574">
        <v>1999</v>
      </c>
      <c r="B574">
        <v>304</v>
      </c>
      <c r="C574">
        <v>0.39877777777777779</v>
      </c>
      <c r="D574">
        <v>0.60122222222222221</v>
      </c>
    </row>
    <row r="575" spans="1:4" x14ac:dyDescent="0.2">
      <c r="A575">
        <v>1998</v>
      </c>
      <c r="B575">
        <v>304</v>
      </c>
      <c r="C575">
        <v>0.4129809300769488</v>
      </c>
      <c r="D575">
        <v>0.5870190699230512</v>
      </c>
    </row>
    <row r="576" spans="1:4" x14ac:dyDescent="0.2">
      <c r="A576">
        <v>1997</v>
      </c>
      <c r="B576">
        <v>304</v>
      </c>
      <c r="C576">
        <v>0.46881496881496881</v>
      </c>
      <c r="D576">
        <v>0.53118503118503124</v>
      </c>
    </row>
    <row r="577" spans="1:4" x14ac:dyDescent="0.2">
      <c r="A577">
        <v>2021</v>
      </c>
      <c r="B577">
        <v>305</v>
      </c>
      <c r="C577">
        <v>0.50549766439094501</v>
      </c>
      <c r="D577">
        <v>0.49450233560905499</v>
      </c>
    </row>
    <row r="578" spans="1:4" x14ac:dyDescent="0.2">
      <c r="A578">
        <v>2020</v>
      </c>
      <c r="B578">
        <v>305</v>
      </c>
      <c r="C578">
        <v>0.52862300154718922</v>
      </c>
      <c r="D578">
        <v>0.47137699845281078</v>
      </c>
    </row>
    <row r="579" spans="1:4" x14ac:dyDescent="0.2">
      <c r="A579">
        <v>2019</v>
      </c>
      <c r="B579">
        <v>305</v>
      </c>
      <c r="C579">
        <v>0.5743438077634011</v>
      </c>
      <c r="D579">
        <v>0.4256561922365989</v>
      </c>
    </row>
    <row r="580" spans="1:4" x14ac:dyDescent="0.2">
      <c r="A580">
        <v>2018</v>
      </c>
      <c r="B580">
        <v>305</v>
      </c>
      <c r="C580">
        <v>0.51249114103472715</v>
      </c>
      <c r="D580">
        <v>0.48750885896527285</v>
      </c>
    </row>
    <row r="581" spans="1:4" x14ac:dyDescent="0.2">
      <c r="A581">
        <v>2017</v>
      </c>
      <c r="B581">
        <v>305</v>
      </c>
      <c r="C581">
        <v>0.32836538461538461</v>
      </c>
      <c r="D581">
        <v>0.67163461538461533</v>
      </c>
    </row>
    <row r="582" spans="1:4" x14ac:dyDescent="0.2">
      <c r="A582">
        <v>2016</v>
      </c>
      <c r="B582">
        <v>305</v>
      </c>
      <c r="C582">
        <v>0.39075144508670523</v>
      </c>
      <c r="D582">
        <v>0.60924855491329477</v>
      </c>
    </row>
    <row r="583" spans="1:4" x14ac:dyDescent="0.2">
      <c r="A583">
        <v>2015</v>
      </c>
      <c r="B583">
        <v>305</v>
      </c>
      <c r="C583">
        <v>0.28993192868719614</v>
      </c>
      <c r="D583">
        <v>0.71006807131280381</v>
      </c>
    </row>
    <row r="584" spans="1:4" x14ac:dyDescent="0.2">
      <c r="A584">
        <v>2014</v>
      </c>
      <c r="B584">
        <v>305</v>
      </c>
      <c r="C584">
        <v>0.41960858110651111</v>
      </c>
      <c r="D584">
        <v>0.58039141889348889</v>
      </c>
    </row>
    <row r="585" spans="1:4" x14ac:dyDescent="0.2">
      <c r="A585">
        <v>2013</v>
      </c>
      <c r="B585">
        <v>305</v>
      </c>
      <c r="C585">
        <v>0.3696910602483835</v>
      </c>
      <c r="D585">
        <v>0.6303089397516165</v>
      </c>
    </row>
    <row r="586" spans="1:4" x14ac:dyDescent="0.2">
      <c r="A586">
        <v>2012</v>
      </c>
      <c r="B586">
        <v>305</v>
      </c>
      <c r="C586">
        <v>0.55543630424638357</v>
      </c>
      <c r="D586">
        <v>0.44456369575361643</v>
      </c>
    </row>
    <row r="587" spans="1:4" x14ac:dyDescent="0.2">
      <c r="A587">
        <v>2011</v>
      </c>
      <c r="B587">
        <v>305</v>
      </c>
      <c r="C587">
        <v>0.39901114071981258</v>
      </c>
      <c r="D587">
        <v>0.60098885928018742</v>
      </c>
    </row>
    <row r="588" spans="1:4" x14ac:dyDescent="0.2">
      <c r="A588">
        <v>2010</v>
      </c>
      <c r="B588">
        <v>305</v>
      </c>
      <c r="C588">
        <v>0.37800689780359409</v>
      </c>
      <c r="D588">
        <v>0.62199310219640591</v>
      </c>
    </row>
    <row r="589" spans="1:4" x14ac:dyDescent="0.2">
      <c r="A589">
        <v>2009</v>
      </c>
      <c r="B589">
        <v>305</v>
      </c>
      <c r="C589">
        <v>0.48285134651338563</v>
      </c>
      <c r="D589">
        <v>0.51714865348661432</v>
      </c>
    </row>
    <row r="590" spans="1:4" x14ac:dyDescent="0.2">
      <c r="A590">
        <v>2008</v>
      </c>
      <c r="B590">
        <v>305</v>
      </c>
      <c r="C590">
        <v>0.3518901615380346</v>
      </c>
      <c r="D590">
        <v>0.64810983846196546</v>
      </c>
    </row>
    <row r="591" spans="1:4" x14ac:dyDescent="0.2">
      <c r="A591">
        <v>2007</v>
      </c>
      <c r="B591">
        <v>305</v>
      </c>
      <c r="C591">
        <v>0.33649601725854633</v>
      </c>
      <c r="D591">
        <v>0.66350398274145372</v>
      </c>
    </row>
    <row r="592" spans="1:4" x14ac:dyDescent="0.2">
      <c r="A592">
        <v>2006</v>
      </c>
      <c r="B592">
        <v>305</v>
      </c>
      <c r="C592">
        <v>0.49975360262823859</v>
      </c>
      <c r="D592">
        <v>0.50024639737176146</v>
      </c>
    </row>
    <row r="593" spans="1:4" x14ac:dyDescent="0.2">
      <c r="A593">
        <v>2005</v>
      </c>
      <c r="B593">
        <v>305</v>
      </c>
      <c r="C593">
        <v>0.45456337701496002</v>
      </c>
      <c r="D593">
        <v>0.54543662298504003</v>
      </c>
    </row>
    <row r="594" spans="1:4" x14ac:dyDescent="0.2">
      <c r="A594">
        <v>2004</v>
      </c>
      <c r="B594">
        <v>305</v>
      </c>
      <c r="C594">
        <v>0.4588524004997323</v>
      </c>
      <c r="D594">
        <v>0.5411475995002677</v>
      </c>
    </row>
    <row r="595" spans="1:4" x14ac:dyDescent="0.2">
      <c r="A595">
        <v>2003</v>
      </c>
      <c r="B595">
        <v>305</v>
      </c>
      <c r="C595">
        <v>0.5068874019381634</v>
      </c>
      <c r="D595">
        <v>0.4931125980618366</v>
      </c>
    </row>
    <row r="596" spans="1:4" x14ac:dyDescent="0.2">
      <c r="A596">
        <v>2002</v>
      </c>
      <c r="B596">
        <v>305</v>
      </c>
      <c r="C596">
        <v>0.48997975708502028</v>
      </c>
      <c r="D596">
        <v>0.51002024291497972</v>
      </c>
    </row>
    <row r="597" spans="1:4" x14ac:dyDescent="0.2">
      <c r="A597">
        <v>2001</v>
      </c>
      <c r="B597">
        <v>305</v>
      </c>
      <c r="C597">
        <v>0.48502673796791446</v>
      </c>
      <c r="D597">
        <v>0.51497326203208549</v>
      </c>
    </row>
    <row r="598" spans="1:4" x14ac:dyDescent="0.2">
      <c r="A598">
        <v>2000</v>
      </c>
      <c r="B598">
        <v>305</v>
      </c>
      <c r="C598">
        <v>0.5227038941954445</v>
      </c>
      <c r="D598">
        <v>0.4772961058045555</v>
      </c>
    </row>
    <row r="599" spans="1:4" x14ac:dyDescent="0.2">
      <c r="A599">
        <v>1999</v>
      </c>
      <c r="B599">
        <v>305</v>
      </c>
      <c r="C599">
        <v>0.53910256410256407</v>
      </c>
      <c r="D599">
        <v>0.46089743589743593</v>
      </c>
    </row>
    <row r="600" spans="1:4" x14ac:dyDescent="0.2">
      <c r="A600">
        <v>1998</v>
      </c>
      <c r="B600">
        <v>305</v>
      </c>
      <c r="C600">
        <v>0.54327580592640834</v>
      </c>
      <c r="D600">
        <v>0.45672419407359166</v>
      </c>
    </row>
    <row r="601" spans="1:4" x14ac:dyDescent="0.2">
      <c r="A601">
        <v>1997</v>
      </c>
      <c r="B601">
        <v>305</v>
      </c>
      <c r="C601">
        <v>0.47420017610801296</v>
      </c>
      <c r="D601">
        <v>0.52579982389198698</v>
      </c>
    </row>
    <row r="602" spans="1:4" x14ac:dyDescent="0.2">
      <c r="A602">
        <v>2021</v>
      </c>
      <c r="B602">
        <v>306</v>
      </c>
      <c r="C602" t="s">
        <v>25</v>
      </c>
      <c r="D602" t="s">
        <v>25</v>
      </c>
    </row>
    <row r="603" spans="1:4" x14ac:dyDescent="0.2">
      <c r="A603">
        <v>2020</v>
      </c>
      <c r="B603">
        <v>306</v>
      </c>
      <c r="C603" t="s">
        <v>25</v>
      </c>
      <c r="D603" t="s">
        <v>25</v>
      </c>
    </row>
    <row r="604" spans="1:4" x14ac:dyDescent="0.2">
      <c r="A604">
        <v>2019</v>
      </c>
      <c r="B604">
        <v>306</v>
      </c>
      <c r="C604" t="s">
        <v>25</v>
      </c>
      <c r="D604" t="s">
        <v>25</v>
      </c>
    </row>
    <row r="605" spans="1:4" x14ac:dyDescent="0.2">
      <c r="A605">
        <v>2018</v>
      </c>
      <c r="B605">
        <v>306</v>
      </c>
      <c r="C605" t="s">
        <v>25</v>
      </c>
      <c r="D605" t="s">
        <v>25</v>
      </c>
    </row>
    <row r="606" spans="1:4" x14ac:dyDescent="0.2">
      <c r="A606">
        <v>2017</v>
      </c>
      <c r="B606">
        <v>306</v>
      </c>
      <c r="C606" t="s">
        <v>25</v>
      </c>
      <c r="D606" t="s">
        <v>25</v>
      </c>
    </row>
    <row r="607" spans="1:4" x14ac:dyDescent="0.2">
      <c r="A607">
        <v>2016</v>
      </c>
      <c r="B607">
        <v>306</v>
      </c>
      <c r="C607" t="s">
        <v>25</v>
      </c>
      <c r="D607" t="s">
        <v>25</v>
      </c>
    </row>
    <row r="608" spans="1:4" x14ac:dyDescent="0.2">
      <c r="A608">
        <v>2015</v>
      </c>
      <c r="B608">
        <v>306</v>
      </c>
      <c r="C608" t="s">
        <v>25</v>
      </c>
      <c r="D608" t="s">
        <v>25</v>
      </c>
    </row>
    <row r="609" spans="1:4" x14ac:dyDescent="0.2">
      <c r="A609">
        <v>2014</v>
      </c>
      <c r="B609">
        <v>306</v>
      </c>
      <c r="C609" t="s">
        <v>25</v>
      </c>
      <c r="D609" t="s">
        <v>25</v>
      </c>
    </row>
    <row r="610" spans="1:4" x14ac:dyDescent="0.2">
      <c r="A610">
        <v>2013</v>
      </c>
      <c r="B610">
        <v>306</v>
      </c>
      <c r="C610" t="s">
        <v>25</v>
      </c>
      <c r="D610" t="s">
        <v>25</v>
      </c>
    </row>
    <row r="611" spans="1:4" x14ac:dyDescent="0.2">
      <c r="A611">
        <v>2012</v>
      </c>
      <c r="B611">
        <v>306</v>
      </c>
      <c r="C611" t="s">
        <v>25</v>
      </c>
      <c r="D611" t="s">
        <v>25</v>
      </c>
    </row>
    <row r="612" spans="1:4" x14ac:dyDescent="0.2">
      <c r="A612">
        <v>2011</v>
      </c>
      <c r="B612">
        <v>306</v>
      </c>
      <c r="C612" t="s">
        <v>25</v>
      </c>
      <c r="D612" t="s">
        <v>25</v>
      </c>
    </row>
    <row r="613" spans="1:4" x14ac:dyDescent="0.2">
      <c r="A613">
        <v>2010</v>
      </c>
      <c r="B613">
        <v>306</v>
      </c>
      <c r="C613" t="s">
        <v>25</v>
      </c>
      <c r="D613" t="s">
        <v>25</v>
      </c>
    </row>
    <row r="614" spans="1:4" x14ac:dyDescent="0.2">
      <c r="A614">
        <v>2009</v>
      </c>
      <c r="B614">
        <v>306</v>
      </c>
      <c r="C614" t="s">
        <v>25</v>
      </c>
      <c r="D614" t="s">
        <v>25</v>
      </c>
    </row>
    <row r="615" spans="1:4" x14ac:dyDescent="0.2">
      <c r="A615">
        <v>2008</v>
      </c>
      <c r="B615">
        <v>306</v>
      </c>
      <c r="C615" t="s">
        <v>25</v>
      </c>
      <c r="D615" t="s">
        <v>25</v>
      </c>
    </row>
    <row r="616" spans="1:4" x14ac:dyDescent="0.2">
      <c r="A616">
        <v>2007</v>
      </c>
      <c r="B616">
        <v>306</v>
      </c>
      <c r="C616" t="s">
        <v>25</v>
      </c>
      <c r="D616" t="s">
        <v>25</v>
      </c>
    </row>
    <row r="617" spans="1:4" x14ac:dyDescent="0.2">
      <c r="A617">
        <v>2006</v>
      </c>
      <c r="B617">
        <v>306</v>
      </c>
      <c r="C617" t="s">
        <v>25</v>
      </c>
      <c r="D617" t="s">
        <v>25</v>
      </c>
    </row>
    <row r="618" spans="1:4" x14ac:dyDescent="0.2">
      <c r="A618">
        <v>2005</v>
      </c>
      <c r="B618">
        <v>306</v>
      </c>
      <c r="C618" t="s">
        <v>25</v>
      </c>
      <c r="D618" t="s">
        <v>25</v>
      </c>
    </row>
    <row r="619" spans="1:4" x14ac:dyDescent="0.2">
      <c r="A619">
        <v>2004</v>
      </c>
      <c r="B619">
        <v>306</v>
      </c>
      <c r="C619" t="s">
        <v>25</v>
      </c>
      <c r="D619" t="s">
        <v>25</v>
      </c>
    </row>
    <row r="620" spans="1:4" x14ac:dyDescent="0.2">
      <c r="A620">
        <v>2003</v>
      </c>
      <c r="B620">
        <v>306</v>
      </c>
      <c r="C620" t="s">
        <v>25</v>
      </c>
      <c r="D620" t="s">
        <v>25</v>
      </c>
    </row>
    <row r="621" spans="1:4" x14ac:dyDescent="0.2">
      <c r="A621">
        <v>2002</v>
      </c>
      <c r="B621">
        <v>306</v>
      </c>
      <c r="C621">
        <v>0.70000000000000007</v>
      </c>
      <c r="D621">
        <v>0.29999999999999993</v>
      </c>
    </row>
    <row r="622" spans="1:4" x14ac:dyDescent="0.2">
      <c r="A622">
        <v>2001</v>
      </c>
      <c r="B622">
        <v>306</v>
      </c>
      <c r="C622" t="s">
        <v>25</v>
      </c>
      <c r="D622" t="s">
        <v>25</v>
      </c>
    </row>
    <row r="623" spans="1:4" x14ac:dyDescent="0.2">
      <c r="A623">
        <v>2000</v>
      </c>
      <c r="B623">
        <v>306</v>
      </c>
      <c r="C623" t="s">
        <v>25</v>
      </c>
      <c r="D623" t="s">
        <v>25</v>
      </c>
    </row>
    <row r="624" spans="1:4" x14ac:dyDescent="0.2">
      <c r="A624">
        <v>1999</v>
      </c>
      <c r="B624">
        <v>306</v>
      </c>
      <c r="C624" t="s">
        <v>25</v>
      </c>
      <c r="D624" t="s">
        <v>25</v>
      </c>
    </row>
    <row r="625" spans="1:4" x14ac:dyDescent="0.2">
      <c r="A625">
        <v>1998</v>
      </c>
      <c r="B625">
        <v>306</v>
      </c>
      <c r="C625">
        <v>0.72268041237113412</v>
      </c>
      <c r="D625">
        <v>0.27731958762886588</v>
      </c>
    </row>
    <row r="626" spans="1:4" x14ac:dyDescent="0.2">
      <c r="A626">
        <v>1997</v>
      </c>
      <c r="B626">
        <v>306</v>
      </c>
      <c r="C626" t="s">
        <v>25</v>
      </c>
      <c r="D626" t="s">
        <v>25</v>
      </c>
    </row>
    <row r="627" spans="1:4" x14ac:dyDescent="0.2">
      <c r="A627">
        <v>2021</v>
      </c>
      <c r="B627">
        <v>307</v>
      </c>
      <c r="C627" t="s">
        <v>25</v>
      </c>
      <c r="D627" t="s">
        <v>25</v>
      </c>
    </row>
    <row r="628" spans="1:4" x14ac:dyDescent="0.2">
      <c r="A628">
        <v>2020</v>
      </c>
      <c r="B628">
        <v>307</v>
      </c>
      <c r="C628" t="s">
        <v>25</v>
      </c>
      <c r="D628" t="s">
        <v>25</v>
      </c>
    </row>
    <row r="629" spans="1:4" x14ac:dyDescent="0.2">
      <c r="A629">
        <v>2019</v>
      </c>
      <c r="B629">
        <v>307</v>
      </c>
      <c r="C629" t="s">
        <v>25</v>
      </c>
      <c r="D629" t="s">
        <v>25</v>
      </c>
    </row>
    <row r="630" spans="1:4" x14ac:dyDescent="0.2">
      <c r="A630">
        <v>2018</v>
      </c>
      <c r="B630">
        <v>307</v>
      </c>
      <c r="C630" t="s">
        <v>25</v>
      </c>
      <c r="D630" t="s">
        <v>25</v>
      </c>
    </row>
    <row r="631" spans="1:4" x14ac:dyDescent="0.2">
      <c r="A631">
        <v>2017</v>
      </c>
      <c r="B631">
        <v>307</v>
      </c>
      <c r="C631" t="s">
        <v>25</v>
      </c>
      <c r="D631" t="s">
        <v>25</v>
      </c>
    </row>
    <row r="632" spans="1:4" x14ac:dyDescent="0.2">
      <c r="A632">
        <v>2016</v>
      </c>
      <c r="B632">
        <v>307</v>
      </c>
      <c r="C632" t="s">
        <v>25</v>
      </c>
      <c r="D632" t="s">
        <v>25</v>
      </c>
    </row>
    <row r="633" spans="1:4" x14ac:dyDescent="0.2">
      <c r="A633">
        <v>2015</v>
      </c>
      <c r="B633">
        <v>307</v>
      </c>
      <c r="C633" t="s">
        <v>25</v>
      </c>
      <c r="D633" t="s">
        <v>25</v>
      </c>
    </row>
    <row r="634" spans="1:4" x14ac:dyDescent="0.2">
      <c r="A634">
        <v>2014</v>
      </c>
      <c r="B634">
        <v>307</v>
      </c>
      <c r="C634" t="s">
        <v>25</v>
      </c>
      <c r="D634" t="s">
        <v>25</v>
      </c>
    </row>
    <row r="635" spans="1:4" x14ac:dyDescent="0.2">
      <c r="A635">
        <v>2013</v>
      </c>
      <c r="B635">
        <v>307</v>
      </c>
      <c r="C635" t="s">
        <v>25</v>
      </c>
      <c r="D635" t="s">
        <v>25</v>
      </c>
    </row>
    <row r="636" spans="1:4" x14ac:dyDescent="0.2">
      <c r="A636">
        <v>2012</v>
      </c>
      <c r="B636">
        <v>307</v>
      </c>
      <c r="C636" t="s">
        <v>25</v>
      </c>
      <c r="D636" t="s">
        <v>25</v>
      </c>
    </row>
    <row r="637" spans="1:4" x14ac:dyDescent="0.2">
      <c r="A637">
        <v>2011</v>
      </c>
      <c r="B637">
        <v>307</v>
      </c>
      <c r="C637" t="s">
        <v>25</v>
      </c>
      <c r="D637" t="s">
        <v>25</v>
      </c>
    </row>
    <row r="638" spans="1:4" x14ac:dyDescent="0.2">
      <c r="A638">
        <v>2010</v>
      </c>
      <c r="B638">
        <v>307</v>
      </c>
      <c r="C638" t="s">
        <v>25</v>
      </c>
      <c r="D638" t="s">
        <v>25</v>
      </c>
    </row>
    <row r="639" spans="1:4" x14ac:dyDescent="0.2">
      <c r="A639">
        <v>2009</v>
      </c>
      <c r="B639">
        <v>307</v>
      </c>
      <c r="C639" t="s">
        <v>25</v>
      </c>
      <c r="D639" t="s">
        <v>25</v>
      </c>
    </row>
    <row r="640" spans="1:4" x14ac:dyDescent="0.2">
      <c r="A640">
        <v>2008</v>
      </c>
      <c r="B640">
        <v>307</v>
      </c>
      <c r="C640" t="s">
        <v>25</v>
      </c>
      <c r="D640" t="s">
        <v>25</v>
      </c>
    </row>
    <row r="641" spans="1:4" x14ac:dyDescent="0.2">
      <c r="A641">
        <v>2007</v>
      </c>
      <c r="B641">
        <v>307</v>
      </c>
      <c r="C641" t="s">
        <v>25</v>
      </c>
      <c r="D641" t="s">
        <v>25</v>
      </c>
    </row>
    <row r="642" spans="1:4" x14ac:dyDescent="0.2">
      <c r="A642">
        <v>2006</v>
      </c>
      <c r="B642">
        <v>307</v>
      </c>
      <c r="C642" t="s">
        <v>25</v>
      </c>
      <c r="D642" t="s">
        <v>25</v>
      </c>
    </row>
    <row r="643" spans="1:4" x14ac:dyDescent="0.2">
      <c r="A643">
        <v>2005</v>
      </c>
      <c r="B643">
        <v>307</v>
      </c>
      <c r="C643" t="s">
        <v>25</v>
      </c>
      <c r="D643" t="s">
        <v>25</v>
      </c>
    </row>
    <row r="644" spans="1:4" x14ac:dyDescent="0.2">
      <c r="A644">
        <v>2004</v>
      </c>
      <c r="B644">
        <v>307</v>
      </c>
      <c r="C644" t="s">
        <v>25</v>
      </c>
      <c r="D644" t="s">
        <v>25</v>
      </c>
    </row>
    <row r="645" spans="1:4" x14ac:dyDescent="0.2">
      <c r="A645">
        <v>2003</v>
      </c>
      <c r="B645">
        <v>307</v>
      </c>
      <c r="C645">
        <v>0.43013698630136987</v>
      </c>
      <c r="D645">
        <v>0.56986301369863013</v>
      </c>
    </row>
    <row r="646" spans="1:4" x14ac:dyDescent="0.2">
      <c r="A646">
        <v>2002</v>
      </c>
      <c r="B646">
        <v>307</v>
      </c>
      <c r="C646" t="s">
        <v>25</v>
      </c>
      <c r="D646" t="s">
        <v>25</v>
      </c>
    </row>
    <row r="647" spans="1:4" x14ac:dyDescent="0.2">
      <c r="A647">
        <v>2001</v>
      </c>
      <c r="B647">
        <v>307</v>
      </c>
      <c r="C647" t="s">
        <v>25</v>
      </c>
      <c r="D647" t="s">
        <v>25</v>
      </c>
    </row>
    <row r="648" spans="1:4" x14ac:dyDescent="0.2">
      <c r="A648">
        <v>2000</v>
      </c>
      <c r="B648">
        <v>307</v>
      </c>
      <c r="C648" t="s">
        <v>25</v>
      </c>
      <c r="D648" t="s">
        <v>25</v>
      </c>
    </row>
    <row r="649" spans="1:4" x14ac:dyDescent="0.2">
      <c r="A649">
        <v>1999</v>
      </c>
      <c r="B649">
        <v>307</v>
      </c>
      <c r="C649" t="s">
        <v>25</v>
      </c>
      <c r="D649" t="s">
        <v>25</v>
      </c>
    </row>
    <row r="650" spans="1:4" x14ac:dyDescent="0.2">
      <c r="A650">
        <v>1998</v>
      </c>
      <c r="B650">
        <v>307</v>
      </c>
      <c r="C650" t="s">
        <v>25</v>
      </c>
      <c r="D650" t="s">
        <v>25</v>
      </c>
    </row>
    <row r="651" spans="1:4" x14ac:dyDescent="0.2">
      <c r="A651">
        <v>1997</v>
      </c>
      <c r="B651">
        <v>307</v>
      </c>
      <c r="C651" t="s">
        <v>25</v>
      </c>
      <c r="D651" t="s">
        <v>25</v>
      </c>
    </row>
    <row r="652" spans="1:4" x14ac:dyDescent="0.2">
      <c r="A652">
        <v>2021</v>
      </c>
      <c r="B652">
        <v>308</v>
      </c>
      <c r="C652">
        <v>0.36119690235073082</v>
      </c>
      <c r="D652">
        <v>0.63880309764926912</v>
      </c>
    </row>
    <row r="653" spans="1:4" x14ac:dyDescent="0.2">
      <c r="A653">
        <v>2020</v>
      </c>
      <c r="B653">
        <v>308</v>
      </c>
      <c r="C653">
        <v>0.38569485994016867</v>
      </c>
      <c r="D653">
        <v>0.61430514005983139</v>
      </c>
    </row>
    <row r="654" spans="1:4" x14ac:dyDescent="0.2">
      <c r="A654">
        <v>2019</v>
      </c>
      <c r="B654">
        <v>308</v>
      </c>
      <c r="C654">
        <v>0.25576990994172699</v>
      </c>
      <c r="D654">
        <v>0.74423009005827301</v>
      </c>
    </row>
    <row r="655" spans="1:4" x14ac:dyDescent="0.2">
      <c r="A655">
        <v>2018</v>
      </c>
      <c r="B655">
        <v>308</v>
      </c>
      <c r="C655">
        <v>0.36431837829033908</v>
      </c>
      <c r="D655">
        <v>0.63568162170966092</v>
      </c>
    </row>
    <row r="656" spans="1:4" x14ac:dyDescent="0.2">
      <c r="A656">
        <v>2017</v>
      </c>
      <c r="B656">
        <v>308</v>
      </c>
      <c r="C656">
        <v>0.33162323884902378</v>
      </c>
      <c r="D656">
        <v>0.66837676115097622</v>
      </c>
    </row>
    <row r="657" spans="1:4" x14ac:dyDescent="0.2">
      <c r="A657">
        <v>2016</v>
      </c>
      <c r="B657">
        <v>308</v>
      </c>
      <c r="C657">
        <v>0.32382772680937821</v>
      </c>
      <c r="D657">
        <v>0.67617227319062179</v>
      </c>
    </row>
    <row r="658" spans="1:4" x14ac:dyDescent="0.2">
      <c r="A658">
        <v>2015</v>
      </c>
      <c r="B658">
        <v>308</v>
      </c>
      <c r="C658">
        <v>0.45362988503442953</v>
      </c>
      <c r="D658">
        <v>0.54637011496557042</v>
      </c>
    </row>
    <row r="659" spans="1:4" x14ac:dyDescent="0.2">
      <c r="A659">
        <v>2014</v>
      </c>
      <c r="B659">
        <v>308</v>
      </c>
      <c r="C659">
        <v>0.38741642487700267</v>
      </c>
      <c r="D659">
        <v>0.61258357512299733</v>
      </c>
    </row>
    <row r="660" spans="1:4" x14ac:dyDescent="0.2">
      <c r="A660">
        <v>2013</v>
      </c>
      <c r="B660">
        <v>308</v>
      </c>
      <c r="C660">
        <v>0.31425323291175222</v>
      </c>
      <c r="D660">
        <v>0.68574676708824778</v>
      </c>
    </row>
    <row r="661" spans="1:4" x14ac:dyDescent="0.2">
      <c r="A661">
        <v>2012</v>
      </c>
      <c r="B661">
        <v>308</v>
      </c>
      <c r="C661">
        <v>0.32591808877910822</v>
      </c>
      <c r="D661">
        <v>0.67408191122089178</v>
      </c>
    </row>
    <row r="662" spans="1:4" x14ac:dyDescent="0.2">
      <c r="A662">
        <v>2011</v>
      </c>
      <c r="B662">
        <v>308</v>
      </c>
      <c r="C662">
        <v>0.28192583964278783</v>
      </c>
      <c r="D662">
        <v>0.71807416035721217</v>
      </c>
    </row>
    <row r="663" spans="1:4" x14ac:dyDescent="0.2">
      <c r="A663">
        <v>2010</v>
      </c>
      <c r="B663">
        <v>308</v>
      </c>
      <c r="C663">
        <v>0.26568564036222514</v>
      </c>
      <c r="D663">
        <v>0.73431435963777481</v>
      </c>
    </row>
    <row r="664" spans="1:4" x14ac:dyDescent="0.2">
      <c r="A664">
        <v>2009</v>
      </c>
      <c r="B664">
        <v>308</v>
      </c>
      <c r="C664">
        <v>0.37644595412032944</v>
      </c>
      <c r="D664">
        <v>0.62355404587967056</v>
      </c>
    </row>
    <row r="665" spans="1:4" x14ac:dyDescent="0.2">
      <c r="A665">
        <v>2008</v>
      </c>
      <c r="B665">
        <v>308</v>
      </c>
      <c r="C665">
        <v>0.30075566750629723</v>
      </c>
      <c r="D665">
        <v>0.69924433249370277</v>
      </c>
    </row>
    <row r="666" spans="1:4" x14ac:dyDescent="0.2">
      <c r="A666">
        <v>2007</v>
      </c>
      <c r="B666">
        <v>308</v>
      </c>
      <c r="C666">
        <v>0.36018930957683737</v>
      </c>
      <c r="D666">
        <v>0.63981069042316263</v>
      </c>
    </row>
    <row r="667" spans="1:4" x14ac:dyDescent="0.2">
      <c r="A667">
        <v>2006</v>
      </c>
      <c r="B667">
        <v>308</v>
      </c>
      <c r="C667">
        <v>0.33287314221314368</v>
      </c>
      <c r="D667">
        <v>0.66712685778685632</v>
      </c>
    </row>
    <row r="668" spans="1:4" x14ac:dyDescent="0.2">
      <c r="A668">
        <v>2005</v>
      </c>
      <c r="B668">
        <v>308</v>
      </c>
      <c r="C668">
        <v>0.35252614199229504</v>
      </c>
      <c r="D668">
        <v>0.64747385800770496</v>
      </c>
    </row>
    <row r="669" spans="1:4" x14ac:dyDescent="0.2">
      <c r="A669">
        <v>2004</v>
      </c>
      <c r="B669">
        <v>308</v>
      </c>
      <c r="C669">
        <v>0.45251562198028739</v>
      </c>
      <c r="D669">
        <v>0.54748437801971261</v>
      </c>
    </row>
    <row r="670" spans="1:4" x14ac:dyDescent="0.2">
      <c r="A670">
        <v>2003</v>
      </c>
      <c r="B670">
        <v>308</v>
      </c>
      <c r="C670">
        <v>0.44087539291856953</v>
      </c>
      <c r="D670">
        <v>0.55912460708143041</v>
      </c>
    </row>
    <row r="671" spans="1:4" x14ac:dyDescent="0.2">
      <c r="A671">
        <v>2002</v>
      </c>
      <c r="B671">
        <v>308</v>
      </c>
      <c r="C671">
        <v>0.38641125411553429</v>
      </c>
      <c r="D671">
        <v>0.61358874588446577</v>
      </c>
    </row>
    <row r="672" spans="1:4" x14ac:dyDescent="0.2">
      <c r="A672">
        <v>2001</v>
      </c>
      <c r="B672">
        <v>308</v>
      </c>
      <c r="C672">
        <v>0.42317444219066935</v>
      </c>
      <c r="D672">
        <v>0.57682555780933065</v>
      </c>
    </row>
    <row r="673" spans="1:4" x14ac:dyDescent="0.2">
      <c r="A673">
        <v>2000</v>
      </c>
      <c r="B673">
        <v>308</v>
      </c>
      <c r="C673">
        <v>0.41626673402374337</v>
      </c>
      <c r="D673">
        <v>0.58373326597625663</v>
      </c>
    </row>
    <row r="674" spans="1:4" x14ac:dyDescent="0.2">
      <c r="A674">
        <v>1999</v>
      </c>
      <c r="B674">
        <v>308</v>
      </c>
      <c r="C674">
        <v>0.38775510204081631</v>
      </c>
      <c r="D674">
        <v>0.61224489795918369</v>
      </c>
    </row>
    <row r="675" spans="1:4" x14ac:dyDescent="0.2">
      <c r="A675">
        <v>1998</v>
      </c>
      <c r="B675">
        <v>308</v>
      </c>
      <c r="C675">
        <v>0.55375342465753419</v>
      </c>
      <c r="D675">
        <v>0.44624657534246581</v>
      </c>
    </row>
    <row r="676" spans="1:4" x14ac:dyDescent="0.2">
      <c r="A676">
        <v>1997</v>
      </c>
      <c r="B676">
        <v>308</v>
      </c>
      <c r="C676">
        <v>0.4465357539829567</v>
      </c>
      <c r="D676">
        <v>0.55346424601704336</v>
      </c>
    </row>
    <row r="677" spans="1:4" x14ac:dyDescent="0.2">
      <c r="A677">
        <v>2021</v>
      </c>
      <c r="B677">
        <v>309</v>
      </c>
      <c r="C677" t="s">
        <v>25</v>
      </c>
      <c r="D677" t="s">
        <v>25</v>
      </c>
    </row>
    <row r="678" spans="1:4" x14ac:dyDescent="0.2">
      <c r="A678">
        <v>2020</v>
      </c>
      <c r="B678">
        <v>309</v>
      </c>
      <c r="C678" t="s">
        <v>25</v>
      </c>
      <c r="D678" t="s">
        <v>25</v>
      </c>
    </row>
    <row r="679" spans="1:4" x14ac:dyDescent="0.2">
      <c r="A679">
        <v>2019</v>
      </c>
      <c r="B679">
        <v>309</v>
      </c>
      <c r="C679" t="s">
        <v>25</v>
      </c>
      <c r="D679" t="s">
        <v>25</v>
      </c>
    </row>
    <row r="680" spans="1:4" x14ac:dyDescent="0.2">
      <c r="A680">
        <v>2018</v>
      </c>
      <c r="B680">
        <v>309</v>
      </c>
      <c r="C680" t="s">
        <v>25</v>
      </c>
      <c r="D680" t="s">
        <v>25</v>
      </c>
    </row>
    <row r="681" spans="1:4" x14ac:dyDescent="0.2">
      <c r="A681">
        <v>2017</v>
      </c>
      <c r="B681">
        <v>309</v>
      </c>
      <c r="C681" t="s">
        <v>25</v>
      </c>
      <c r="D681" t="s">
        <v>25</v>
      </c>
    </row>
    <row r="682" spans="1:4" x14ac:dyDescent="0.2">
      <c r="A682">
        <v>2016</v>
      </c>
      <c r="B682">
        <v>309</v>
      </c>
      <c r="C682" t="s">
        <v>25</v>
      </c>
      <c r="D682" t="s">
        <v>25</v>
      </c>
    </row>
    <row r="683" spans="1:4" x14ac:dyDescent="0.2">
      <c r="A683">
        <v>2015</v>
      </c>
      <c r="B683">
        <v>309</v>
      </c>
      <c r="C683" t="s">
        <v>25</v>
      </c>
      <c r="D683" t="s">
        <v>25</v>
      </c>
    </row>
    <row r="684" spans="1:4" x14ac:dyDescent="0.2">
      <c r="A684">
        <v>2014</v>
      </c>
      <c r="B684">
        <v>309</v>
      </c>
      <c r="C684" t="s">
        <v>25</v>
      </c>
      <c r="D684" t="s">
        <v>25</v>
      </c>
    </row>
    <row r="685" spans="1:4" x14ac:dyDescent="0.2">
      <c r="A685">
        <v>2013</v>
      </c>
      <c r="B685">
        <v>309</v>
      </c>
      <c r="C685">
        <v>0.50821917808219186</v>
      </c>
      <c r="D685">
        <v>0.49178082191780814</v>
      </c>
    </row>
    <row r="686" spans="1:4" x14ac:dyDescent="0.2">
      <c r="A686">
        <v>2012</v>
      </c>
      <c r="B686">
        <v>309</v>
      </c>
      <c r="C686" t="s">
        <v>25</v>
      </c>
      <c r="D686" t="s">
        <v>25</v>
      </c>
    </row>
    <row r="687" spans="1:4" x14ac:dyDescent="0.2">
      <c r="A687">
        <v>2011</v>
      </c>
      <c r="B687">
        <v>309</v>
      </c>
      <c r="C687" t="s">
        <v>25</v>
      </c>
      <c r="D687" t="s">
        <v>25</v>
      </c>
    </row>
    <row r="688" spans="1:4" x14ac:dyDescent="0.2">
      <c r="A688">
        <v>2010</v>
      </c>
      <c r="B688">
        <v>309</v>
      </c>
      <c r="C688">
        <v>0.37509727626459149</v>
      </c>
      <c r="D688">
        <v>0.62490272373540856</v>
      </c>
    </row>
    <row r="689" spans="1:4" x14ac:dyDescent="0.2">
      <c r="A689">
        <v>2009</v>
      </c>
      <c r="B689">
        <v>309</v>
      </c>
      <c r="C689">
        <v>0.59705593719332684</v>
      </c>
      <c r="D689">
        <v>0.40294406280667316</v>
      </c>
    </row>
    <row r="690" spans="1:4" x14ac:dyDescent="0.2">
      <c r="A690">
        <v>2008</v>
      </c>
      <c r="B690">
        <v>309</v>
      </c>
      <c r="C690" t="s">
        <v>25</v>
      </c>
      <c r="D690" t="s">
        <v>25</v>
      </c>
    </row>
    <row r="691" spans="1:4" x14ac:dyDescent="0.2">
      <c r="A691">
        <v>2007</v>
      </c>
      <c r="B691">
        <v>309</v>
      </c>
      <c r="C691">
        <v>0.41524663677130047</v>
      </c>
      <c r="D691">
        <v>0.58475336322869953</v>
      </c>
    </row>
    <row r="692" spans="1:4" x14ac:dyDescent="0.2">
      <c r="A692">
        <v>2006</v>
      </c>
      <c r="B692">
        <v>309</v>
      </c>
      <c r="C692">
        <v>0.67266156462585036</v>
      </c>
      <c r="D692">
        <v>0.32733843537414964</v>
      </c>
    </row>
    <row r="693" spans="1:4" x14ac:dyDescent="0.2">
      <c r="A693">
        <v>2005</v>
      </c>
      <c r="B693">
        <v>309</v>
      </c>
      <c r="C693">
        <v>0.74156285390713483</v>
      </c>
      <c r="D693">
        <v>0.25843714609286517</v>
      </c>
    </row>
    <row r="694" spans="1:4" x14ac:dyDescent="0.2">
      <c r="A694">
        <v>2004</v>
      </c>
      <c r="B694">
        <v>309</v>
      </c>
      <c r="C694" t="s">
        <v>25</v>
      </c>
      <c r="D694" t="s">
        <v>25</v>
      </c>
    </row>
    <row r="695" spans="1:4" x14ac:dyDescent="0.2">
      <c r="A695">
        <v>2003</v>
      </c>
      <c r="B695">
        <v>309</v>
      </c>
      <c r="C695" t="s">
        <v>25</v>
      </c>
      <c r="D695" t="s">
        <v>25</v>
      </c>
    </row>
    <row r="696" spans="1:4" x14ac:dyDescent="0.2">
      <c r="A696">
        <v>2002</v>
      </c>
      <c r="B696">
        <v>309</v>
      </c>
      <c r="C696">
        <v>0.68477751756440286</v>
      </c>
      <c r="D696">
        <v>0.31522248243559714</v>
      </c>
    </row>
    <row r="697" spans="1:4" x14ac:dyDescent="0.2">
      <c r="A697">
        <v>2001</v>
      </c>
      <c r="B697">
        <v>309</v>
      </c>
      <c r="C697">
        <v>0.35773195876288666</v>
      </c>
      <c r="D697">
        <v>0.64226804123711334</v>
      </c>
    </row>
    <row r="698" spans="1:4" x14ac:dyDescent="0.2">
      <c r="A698">
        <v>2000</v>
      </c>
      <c r="B698">
        <v>309</v>
      </c>
      <c r="C698">
        <v>0.52285714285714291</v>
      </c>
      <c r="D698">
        <v>0.47714285714285709</v>
      </c>
    </row>
    <row r="699" spans="1:4" x14ac:dyDescent="0.2">
      <c r="A699">
        <v>1999</v>
      </c>
      <c r="B699">
        <v>309</v>
      </c>
      <c r="C699">
        <v>0.38825422365245377</v>
      </c>
      <c r="D699">
        <v>0.61174577634754623</v>
      </c>
    </row>
    <row r="700" spans="1:4" x14ac:dyDescent="0.2">
      <c r="A700">
        <v>1998</v>
      </c>
      <c r="B700">
        <v>309</v>
      </c>
      <c r="C700">
        <v>0.43793571751923949</v>
      </c>
      <c r="D700">
        <v>0.56206428248076046</v>
      </c>
    </row>
    <row r="701" spans="1:4" x14ac:dyDescent="0.2">
      <c r="A701">
        <v>1997</v>
      </c>
      <c r="B701">
        <v>309</v>
      </c>
      <c r="C701">
        <v>0.43189693469569079</v>
      </c>
      <c r="D701">
        <v>0.56810306530430921</v>
      </c>
    </row>
    <row r="702" spans="1:4" x14ac:dyDescent="0.2">
      <c r="A702">
        <v>2021</v>
      </c>
      <c r="B702">
        <v>310</v>
      </c>
      <c r="C702" t="s">
        <v>25</v>
      </c>
      <c r="D702" t="s">
        <v>25</v>
      </c>
    </row>
    <row r="703" spans="1:4" x14ac:dyDescent="0.2">
      <c r="A703">
        <v>2020</v>
      </c>
      <c r="B703">
        <v>310</v>
      </c>
      <c r="C703" t="s">
        <v>25</v>
      </c>
      <c r="D703" t="s">
        <v>25</v>
      </c>
    </row>
    <row r="704" spans="1:4" x14ac:dyDescent="0.2">
      <c r="A704">
        <v>2019</v>
      </c>
      <c r="B704">
        <v>310</v>
      </c>
      <c r="C704" t="s">
        <v>25</v>
      </c>
      <c r="D704" t="s">
        <v>25</v>
      </c>
    </row>
    <row r="705" spans="1:4" x14ac:dyDescent="0.2">
      <c r="A705">
        <v>2018</v>
      </c>
      <c r="B705">
        <v>310</v>
      </c>
      <c r="C705" t="s">
        <v>25</v>
      </c>
      <c r="D705" t="s">
        <v>25</v>
      </c>
    </row>
    <row r="706" spans="1:4" x14ac:dyDescent="0.2">
      <c r="A706">
        <v>2017</v>
      </c>
      <c r="B706">
        <v>310</v>
      </c>
      <c r="C706">
        <v>0.29759999999999998</v>
      </c>
      <c r="D706">
        <v>0.70240000000000002</v>
      </c>
    </row>
    <row r="707" spans="1:4" x14ac:dyDescent="0.2">
      <c r="A707">
        <v>2016</v>
      </c>
      <c r="B707">
        <v>310</v>
      </c>
      <c r="C707">
        <v>0.51360815602836873</v>
      </c>
      <c r="D707">
        <v>0.48639184397163127</v>
      </c>
    </row>
    <row r="708" spans="1:4" x14ac:dyDescent="0.2">
      <c r="A708">
        <v>2015</v>
      </c>
      <c r="B708">
        <v>310</v>
      </c>
      <c r="C708" t="s">
        <v>25</v>
      </c>
      <c r="D708" t="s">
        <v>25</v>
      </c>
    </row>
    <row r="709" spans="1:4" x14ac:dyDescent="0.2">
      <c r="A709">
        <v>2014</v>
      </c>
      <c r="B709">
        <v>310</v>
      </c>
      <c r="C709" t="s">
        <v>25</v>
      </c>
      <c r="D709" t="s">
        <v>25</v>
      </c>
    </row>
    <row r="710" spans="1:4" x14ac:dyDescent="0.2">
      <c r="A710">
        <v>2013</v>
      </c>
      <c r="B710">
        <v>310</v>
      </c>
      <c r="C710" t="s">
        <v>25</v>
      </c>
      <c r="D710" t="s">
        <v>25</v>
      </c>
    </row>
    <row r="711" spans="1:4" x14ac:dyDescent="0.2">
      <c r="A711">
        <v>2012</v>
      </c>
      <c r="B711">
        <v>310</v>
      </c>
      <c r="C711">
        <v>0.72807017543859665</v>
      </c>
      <c r="D711">
        <v>0.27192982456140335</v>
      </c>
    </row>
    <row r="712" spans="1:4" x14ac:dyDescent="0.2">
      <c r="A712">
        <v>2011</v>
      </c>
      <c r="B712">
        <v>310</v>
      </c>
      <c r="C712">
        <v>0.6715404699738905</v>
      </c>
      <c r="D712">
        <v>0.3284595300261095</v>
      </c>
    </row>
    <row r="713" spans="1:4" x14ac:dyDescent="0.2">
      <c r="A713">
        <v>2010</v>
      </c>
      <c r="B713">
        <v>310</v>
      </c>
      <c r="C713" t="s">
        <v>25</v>
      </c>
      <c r="D713" t="s">
        <v>25</v>
      </c>
    </row>
    <row r="714" spans="1:4" x14ac:dyDescent="0.2">
      <c r="A714">
        <v>2009</v>
      </c>
      <c r="B714">
        <v>310</v>
      </c>
      <c r="C714">
        <v>0.74131346064275749</v>
      </c>
      <c r="D714">
        <v>0.25868653935724251</v>
      </c>
    </row>
    <row r="715" spans="1:4" x14ac:dyDescent="0.2">
      <c r="A715">
        <v>2008</v>
      </c>
      <c r="B715">
        <v>310</v>
      </c>
      <c r="C715">
        <v>0.73234142521534851</v>
      </c>
      <c r="D715">
        <v>0.26765857478465149</v>
      </c>
    </row>
    <row r="716" spans="1:4" x14ac:dyDescent="0.2">
      <c r="A716">
        <v>2007</v>
      </c>
      <c r="B716">
        <v>310</v>
      </c>
      <c r="C716" t="s">
        <v>25</v>
      </c>
      <c r="D716" t="s">
        <v>25</v>
      </c>
    </row>
    <row r="717" spans="1:4" x14ac:dyDescent="0.2">
      <c r="A717">
        <v>2006</v>
      </c>
      <c r="B717">
        <v>310</v>
      </c>
      <c r="C717" t="s">
        <v>25</v>
      </c>
      <c r="D717" t="s">
        <v>25</v>
      </c>
    </row>
    <row r="718" spans="1:4" x14ac:dyDescent="0.2">
      <c r="A718">
        <v>2005</v>
      </c>
      <c r="B718">
        <v>310</v>
      </c>
      <c r="C718">
        <v>0.74276923076923085</v>
      </c>
      <c r="D718">
        <v>0.25723076923076915</v>
      </c>
    </row>
    <row r="719" spans="1:4" x14ac:dyDescent="0.2">
      <c r="A719">
        <v>2004</v>
      </c>
      <c r="B719">
        <v>310</v>
      </c>
      <c r="C719" t="s">
        <v>25</v>
      </c>
      <c r="D719" t="s">
        <v>25</v>
      </c>
    </row>
    <row r="720" spans="1:4" x14ac:dyDescent="0.2">
      <c r="A720">
        <v>2003</v>
      </c>
      <c r="B720">
        <v>310</v>
      </c>
      <c r="C720" t="s">
        <v>25</v>
      </c>
      <c r="D720" t="s">
        <v>25</v>
      </c>
    </row>
    <row r="721" spans="1:4" x14ac:dyDescent="0.2">
      <c r="A721">
        <v>2002</v>
      </c>
      <c r="B721">
        <v>310</v>
      </c>
      <c r="C721" t="s">
        <v>25</v>
      </c>
      <c r="D721" t="s">
        <v>25</v>
      </c>
    </row>
    <row r="722" spans="1:4" x14ac:dyDescent="0.2">
      <c r="A722">
        <v>2001</v>
      </c>
      <c r="B722">
        <v>310</v>
      </c>
      <c r="C722" t="s">
        <v>25</v>
      </c>
      <c r="D722" t="s">
        <v>25</v>
      </c>
    </row>
    <row r="723" spans="1:4" x14ac:dyDescent="0.2">
      <c r="A723">
        <v>2000</v>
      </c>
      <c r="B723">
        <v>310</v>
      </c>
      <c r="C723" t="s">
        <v>25</v>
      </c>
      <c r="D723" t="s">
        <v>25</v>
      </c>
    </row>
    <row r="724" spans="1:4" x14ac:dyDescent="0.2">
      <c r="A724">
        <v>1999</v>
      </c>
      <c r="B724">
        <v>310</v>
      </c>
      <c r="C724" t="s">
        <v>25</v>
      </c>
      <c r="D724" t="s">
        <v>25</v>
      </c>
    </row>
    <row r="725" spans="1:4" x14ac:dyDescent="0.2">
      <c r="A725">
        <v>1998</v>
      </c>
      <c r="B725">
        <v>310</v>
      </c>
      <c r="C725">
        <v>0.76042099539779029</v>
      </c>
      <c r="D725">
        <v>0.23957900460220971</v>
      </c>
    </row>
    <row r="726" spans="1:4" x14ac:dyDescent="0.2">
      <c r="A726">
        <v>1997</v>
      </c>
      <c r="B726">
        <v>310</v>
      </c>
      <c r="C726">
        <v>0.7717434869739479</v>
      </c>
      <c r="D726">
        <v>0.2282565130260521</v>
      </c>
    </row>
    <row r="727" spans="1:4" x14ac:dyDescent="0.2">
      <c r="A727">
        <v>2021</v>
      </c>
      <c r="B727">
        <v>311</v>
      </c>
      <c r="C727" t="s">
        <v>25</v>
      </c>
      <c r="D727" t="s">
        <v>25</v>
      </c>
    </row>
    <row r="728" spans="1:4" x14ac:dyDescent="0.2">
      <c r="A728">
        <v>2020</v>
      </c>
      <c r="B728">
        <v>311</v>
      </c>
      <c r="C728" t="s">
        <v>25</v>
      </c>
      <c r="D728" t="s">
        <v>25</v>
      </c>
    </row>
    <row r="729" spans="1:4" x14ac:dyDescent="0.2">
      <c r="A729">
        <v>2019</v>
      </c>
      <c r="B729">
        <v>311</v>
      </c>
      <c r="C729">
        <v>0.2372827346465817</v>
      </c>
      <c r="D729">
        <v>0.76271726535341833</v>
      </c>
    </row>
    <row r="730" spans="1:4" x14ac:dyDescent="0.2">
      <c r="A730">
        <v>2018</v>
      </c>
      <c r="B730">
        <v>311</v>
      </c>
      <c r="C730" t="s">
        <v>25</v>
      </c>
      <c r="D730" t="s">
        <v>25</v>
      </c>
    </row>
    <row r="731" spans="1:4" x14ac:dyDescent="0.2">
      <c r="A731">
        <v>2017</v>
      </c>
      <c r="B731">
        <v>311</v>
      </c>
      <c r="C731">
        <v>0.45441696113074209</v>
      </c>
      <c r="D731">
        <v>0.54558303886925796</v>
      </c>
    </row>
    <row r="732" spans="1:4" x14ac:dyDescent="0.2">
      <c r="A732">
        <v>2016</v>
      </c>
      <c r="B732">
        <v>311</v>
      </c>
      <c r="C732" t="s">
        <v>25</v>
      </c>
      <c r="D732" t="s">
        <v>25</v>
      </c>
    </row>
    <row r="733" spans="1:4" x14ac:dyDescent="0.2">
      <c r="A733">
        <v>2015</v>
      </c>
      <c r="B733">
        <v>311</v>
      </c>
      <c r="C733">
        <v>0.69281825252787155</v>
      </c>
      <c r="D733">
        <v>0.30718174747212845</v>
      </c>
    </row>
    <row r="734" spans="1:4" x14ac:dyDescent="0.2">
      <c r="A734">
        <v>2014</v>
      </c>
      <c r="B734">
        <v>311</v>
      </c>
      <c r="C734">
        <v>0.37969195664575017</v>
      </c>
      <c r="D734">
        <v>0.62030804335424983</v>
      </c>
    </row>
    <row r="735" spans="1:4" x14ac:dyDescent="0.2">
      <c r="A735">
        <v>2013</v>
      </c>
      <c r="B735">
        <v>311</v>
      </c>
      <c r="C735">
        <v>0.64609589041095894</v>
      </c>
      <c r="D735">
        <v>0.35390410958904106</v>
      </c>
    </row>
    <row r="736" spans="1:4" x14ac:dyDescent="0.2">
      <c r="A736">
        <v>2012</v>
      </c>
      <c r="B736">
        <v>311</v>
      </c>
      <c r="C736">
        <v>0.49215022082982252</v>
      </c>
      <c r="D736">
        <v>0.50784977917017748</v>
      </c>
    </row>
    <row r="737" spans="1:4" x14ac:dyDescent="0.2">
      <c r="A737">
        <v>2011</v>
      </c>
      <c r="B737">
        <v>311</v>
      </c>
      <c r="C737">
        <v>0.5610032845625561</v>
      </c>
      <c r="D737">
        <v>0.4389967154374439</v>
      </c>
    </row>
    <row r="738" spans="1:4" x14ac:dyDescent="0.2">
      <c r="A738">
        <v>2010</v>
      </c>
      <c r="B738">
        <v>311</v>
      </c>
      <c r="C738">
        <v>0.63556452320378987</v>
      </c>
      <c r="D738">
        <v>0.36443547679621013</v>
      </c>
    </row>
    <row r="739" spans="1:4" x14ac:dyDescent="0.2">
      <c r="A739">
        <v>2009</v>
      </c>
      <c r="B739">
        <v>311</v>
      </c>
      <c r="C739">
        <v>0.73731343283582096</v>
      </c>
      <c r="D739">
        <v>0.26268656716417904</v>
      </c>
    </row>
    <row r="740" spans="1:4" x14ac:dyDescent="0.2">
      <c r="A740">
        <v>2008</v>
      </c>
      <c r="B740">
        <v>311</v>
      </c>
      <c r="C740" t="s">
        <v>25</v>
      </c>
      <c r="D740" t="s">
        <v>25</v>
      </c>
    </row>
    <row r="741" spans="1:4" x14ac:dyDescent="0.2">
      <c r="A741">
        <v>2007</v>
      </c>
      <c r="B741">
        <v>311</v>
      </c>
      <c r="C741" t="s">
        <v>25</v>
      </c>
      <c r="D741" t="s">
        <v>25</v>
      </c>
    </row>
    <row r="742" spans="1:4" x14ac:dyDescent="0.2">
      <c r="A742">
        <v>2006</v>
      </c>
      <c r="B742">
        <v>311</v>
      </c>
      <c r="C742" t="s">
        <v>25</v>
      </c>
      <c r="D742" t="s">
        <v>25</v>
      </c>
    </row>
    <row r="743" spans="1:4" x14ac:dyDescent="0.2">
      <c r="A743">
        <v>2005</v>
      </c>
      <c r="B743">
        <v>311</v>
      </c>
      <c r="C743">
        <v>0.38341013824884795</v>
      </c>
      <c r="D743">
        <v>0.61658986175115205</v>
      </c>
    </row>
    <row r="744" spans="1:4" x14ac:dyDescent="0.2">
      <c r="A744">
        <v>2004</v>
      </c>
      <c r="B744">
        <v>311</v>
      </c>
      <c r="C744" t="s">
        <v>25</v>
      </c>
      <c r="D744" t="s">
        <v>25</v>
      </c>
    </row>
    <row r="745" spans="1:4" x14ac:dyDescent="0.2">
      <c r="A745">
        <v>2003</v>
      </c>
      <c r="B745">
        <v>311</v>
      </c>
      <c r="C745" t="s">
        <v>25</v>
      </c>
      <c r="D745" t="s">
        <v>25</v>
      </c>
    </row>
    <row r="746" spans="1:4" x14ac:dyDescent="0.2">
      <c r="A746">
        <v>2002</v>
      </c>
      <c r="B746">
        <v>311</v>
      </c>
      <c r="C746" t="s">
        <v>25</v>
      </c>
      <c r="D746" t="s">
        <v>25</v>
      </c>
    </row>
    <row r="747" spans="1:4" x14ac:dyDescent="0.2">
      <c r="A747">
        <v>2001</v>
      </c>
      <c r="B747">
        <v>311</v>
      </c>
      <c r="C747" t="s">
        <v>25</v>
      </c>
      <c r="D747" t="s">
        <v>25</v>
      </c>
    </row>
    <row r="748" spans="1:4" x14ac:dyDescent="0.2">
      <c r="A748">
        <v>2000</v>
      </c>
      <c r="B748">
        <v>311</v>
      </c>
      <c r="C748" t="s">
        <v>25</v>
      </c>
      <c r="D748" t="s">
        <v>25</v>
      </c>
    </row>
    <row r="749" spans="1:4" x14ac:dyDescent="0.2">
      <c r="A749">
        <v>1999</v>
      </c>
      <c r="B749">
        <v>311</v>
      </c>
      <c r="C749">
        <v>0.74081237911025155</v>
      </c>
      <c r="D749">
        <v>0.25918762088974845</v>
      </c>
    </row>
    <row r="750" spans="1:4" x14ac:dyDescent="0.2">
      <c r="A750">
        <v>1998</v>
      </c>
      <c r="B750">
        <v>311</v>
      </c>
      <c r="C750" t="s">
        <v>25</v>
      </c>
      <c r="D750" t="s">
        <v>25</v>
      </c>
    </row>
    <row r="751" spans="1:4" x14ac:dyDescent="0.2">
      <c r="A751">
        <v>1997</v>
      </c>
      <c r="B751">
        <v>311</v>
      </c>
      <c r="C751" t="s">
        <v>25</v>
      </c>
      <c r="D751" t="s">
        <v>25</v>
      </c>
    </row>
    <row r="752" spans="1:4" x14ac:dyDescent="0.2">
      <c r="A752">
        <v>2021</v>
      </c>
      <c r="B752">
        <v>312</v>
      </c>
      <c r="C752" t="s">
        <v>25</v>
      </c>
      <c r="D752" t="s">
        <v>25</v>
      </c>
    </row>
    <row r="753" spans="1:4" x14ac:dyDescent="0.2">
      <c r="A753">
        <v>2020</v>
      </c>
      <c r="B753">
        <v>312</v>
      </c>
      <c r="C753" t="s">
        <v>25</v>
      </c>
      <c r="D753" t="s">
        <v>25</v>
      </c>
    </row>
    <row r="754" spans="1:4" x14ac:dyDescent="0.2">
      <c r="A754">
        <v>2019</v>
      </c>
      <c r="B754">
        <v>312</v>
      </c>
      <c r="C754" t="s">
        <v>25</v>
      </c>
      <c r="D754" t="s">
        <v>25</v>
      </c>
    </row>
    <row r="755" spans="1:4" x14ac:dyDescent="0.2">
      <c r="A755">
        <v>2018</v>
      </c>
      <c r="B755">
        <v>312</v>
      </c>
      <c r="C755" t="s">
        <v>25</v>
      </c>
      <c r="D755" t="s">
        <v>25</v>
      </c>
    </row>
    <row r="756" spans="1:4" x14ac:dyDescent="0.2">
      <c r="A756">
        <v>2017</v>
      </c>
      <c r="B756">
        <v>312</v>
      </c>
      <c r="C756" t="s">
        <v>25</v>
      </c>
      <c r="D756" t="s">
        <v>25</v>
      </c>
    </row>
    <row r="757" spans="1:4" x14ac:dyDescent="0.2">
      <c r="A757">
        <v>2016</v>
      </c>
      <c r="B757">
        <v>312</v>
      </c>
      <c r="C757" t="s">
        <v>25</v>
      </c>
      <c r="D757" t="s">
        <v>25</v>
      </c>
    </row>
    <row r="758" spans="1:4" x14ac:dyDescent="0.2">
      <c r="A758">
        <v>2015</v>
      </c>
      <c r="B758">
        <v>312</v>
      </c>
      <c r="C758" t="s">
        <v>25</v>
      </c>
      <c r="D758" t="s">
        <v>25</v>
      </c>
    </row>
    <row r="759" spans="1:4" x14ac:dyDescent="0.2">
      <c r="A759">
        <v>2014</v>
      </c>
      <c r="B759">
        <v>312</v>
      </c>
      <c r="C759" t="s">
        <v>25</v>
      </c>
      <c r="D759" t="s">
        <v>25</v>
      </c>
    </row>
    <row r="760" spans="1:4" x14ac:dyDescent="0.2">
      <c r="A760">
        <v>2013</v>
      </c>
      <c r="B760">
        <v>312</v>
      </c>
      <c r="C760">
        <v>0.49275685605563574</v>
      </c>
      <c r="D760">
        <v>0.50724314394436432</v>
      </c>
    </row>
    <row r="761" spans="1:4" x14ac:dyDescent="0.2">
      <c r="A761">
        <v>2012</v>
      </c>
      <c r="B761">
        <v>312</v>
      </c>
      <c r="C761" t="s">
        <v>25</v>
      </c>
      <c r="D761" t="s">
        <v>25</v>
      </c>
    </row>
    <row r="762" spans="1:4" x14ac:dyDescent="0.2">
      <c r="A762">
        <v>2011</v>
      </c>
      <c r="B762">
        <v>312</v>
      </c>
      <c r="C762" t="s">
        <v>25</v>
      </c>
      <c r="D762" t="s">
        <v>25</v>
      </c>
    </row>
    <row r="763" spans="1:4" x14ac:dyDescent="0.2">
      <c r="A763">
        <v>2010</v>
      </c>
      <c r="B763">
        <v>312</v>
      </c>
      <c r="C763" t="s">
        <v>25</v>
      </c>
      <c r="D763" t="s">
        <v>25</v>
      </c>
    </row>
    <row r="764" spans="1:4" x14ac:dyDescent="0.2">
      <c r="A764">
        <v>2009</v>
      </c>
      <c r="B764">
        <v>312</v>
      </c>
      <c r="C764" t="s">
        <v>25</v>
      </c>
      <c r="D764" t="s">
        <v>25</v>
      </c>
    </row>
    <row r="765" spans="1:4" x14ac:dyDescent="0.2">
      <c r="A765">
        <v>2008</v>
      </c>
      <c r="B765">
        <v>312</v>
      </c>
      <c r="C765" t="s">
        <v>25</v>
      </c>
      <c r="D765" t="s">
        <v>25</v>
      </c>
    </row>
    <row r="766" spans="1:4" x14ac:dyDescent="0.2">
      <c r="A766">
        <v>2007</v>
      </c>
      <c r="B766">
        <v>312</v>
      </c>
      <c r="C766" t="s">
        <v>25</v>
      </c>
      <c r="D766" t="s">
        <v>25</v>
      </c>
    </row>
    <row r="767" spans="1:4" x14ac:dyDescent="0.2">
      <c r="A767">
        <v>2006</v>
      </c>
      <c r="B767">
        <v>312</v>
      </c>
      <c r="C767" t="s">
        <v>25</v>
      </c>
      <c r="D767" t="s">
        <v>25</v>
      </c>
    </row>
    <row r="768" spans="1:4" x14ac:dyDescent="0.2">
      <c r="A768">
        <v>2005</v>
      </c>
      <c r="B768">
        <v>312</v>
      </c>
      <c r="C768" t="s">
        <v>25</v>
      </c>
      <c r="D768" t="s">
        <v>25</v>
      </c>
    </row>
    <row r="769" spans="1:4" x14ac:dyDescent="0.2">
      <c r="A769">
        <v>2004</v>
      </c>
      <c r="B769">
        <v>312</v>
      </c>
      <c r="C769" t="s">
        <v>25</v>
      </c>
      <c r="D769" t="s">
        <v>25</v>
      </c>
    </row>
    <row r="770" spans="1:4" x14ac:dyDescent="0.2">
      <c r="A770">
        <v>2003</v>
      </c>
      <c r="B770">
        <v>312</v>
      </c>
      <c r="C770">
        <v>0.48889867841409695</v>
      </c>
      <c r="D770">
        <v>0.51110132158590305</v>
      </c>
    </row>
    <row r="771" spans="1:4" x14ac:dyDescent="0.2">
      <c r="A771">
        <v>2002</v>
      </c>
      <c r="B771">
        <v>312</v>
      </c>
      <c r="C771" t="s">
        <v>25</v>
      </c>
      <c r="D771" t="s">
        <v>25</v>
      </c>
    </row>
    <row r="772" spans="1:4" x14ac:dyDescent="0.2">
      <c r="A772">
        <v>2001</v>
      </c>
      <c r="B772">
        <v>312</v>
      </c>
      <c r="C772" t="s">
        <v>25</v>
      </c>
      <c r="D772" t="s">
        <v>25</v>
      </c>
    </row>
    <row r="773" spans="1:4" x14ac:dyDescent="0.2">
      <c r="A773">
        <v>2000</v>
      </c>
      <c r="B773">
        <v>312</v>
      </c>
      <c r="C773" t="s">
        <v>25</v>
      </c>
      <c r="D773" t="s">
        <v>25</v>
      </c>
    </row>
    <row r="774" spans="1:4" x14ac:dyDescent="0.2">
      <c r="A774">
        <v>1999</v>
      </c>
      <c r="B774">
        <v>312</v>
      </c>
      <c r="C774" t="s">
        <v>25</v>
      </c>
      <c r="D774" t="s">
        <v>25</v>
      </c>
    </row>
    <row r="775" spans="1:4" x14ac:dyDescent="0.2">
      <c r="A775">
        <v>1998</v>
      </c>
      <c r="B775">
        <v>312</v>
      </c>
      <c r="C775">
        <v>0.56898817345597896</v>
      </c>
      <c r="D775">
        <v>0.43101182654402104</v>
      </c>
    </row>
    <row r="776" spans="1:4" x14ac:dyDescent="0.2">
      <c r="A776">
        <v>1997</v>
      </c>
      <c r="B776">
        <v>312</v>
      </c>
      <c r="C776">
        <v>0.50616438356164384</v>
      </c>
      <c r="D776">
        <v>0.49383561643835616</v>
      </c>
    </row>
    <row r="777" spans="1:4" x14ac:dyDescent="0.2">
      <c r="A777">
        <v>2021</v>
      </c>
      <c r="B777">
        <v>313</v>
      </c>
      <c r="C777" t="s">
        <v>25</v>
      </c>
      <c r="D777" t="s">
        <v>25</v>
      </c>
    </row>
    <row r="778" spans="1:4" x14ac:dyDescent="0.2">
      <c r="A778">
        <v>2020</v>
      </c>
      <c r="B778">
        <v>313</v>
      </c>
      <c r="C778" t="s">
        <v>25</v>
      </c>
      <c r="D778" t="s">
        <v>25</v>
      </c>
    </row>
    <row r="779" spans="1:4" x14ac:dyDescent="0.2">
      <c r="A779">
        <v>2019</v>
      </c>
      <c r="B779">
        <v>313</v>
      </c>
      <c r="C779" t="s">
        <v>25</v>
      </c>
      <c r="D779" t="s">
        <v>25</v>
      </c>
    </row>
    <row r="780" spans="1:4" x14ac:dyDescent="0.2">
      <c r="A780">
        <v>2018</v>
      </c>
      <c r="B780">
        <v>313</v>
      </c>
      <c r="C780" t="s">
        <v>25</v>
      </c>
      <c r="D780" t="s">
        <v>25</v>
      </c>
    </row>
    <row r="781" spans="1:4" x14ac:dyDescent="0.2">
      <c r="A781">
        <v>2017</v>
      </c>
      <c r="B781">
        <v>313</v>
      </c>
      <c r="C781">
        <v>0.42790981109079834</v>
      </c>
      <c r="D781">
        <v>0.5720901889092016</v>
      </c>
    </row>
    <row r="782" spans="1:4" x14ac:dyDescent="0.2">
      <c r="A782">
        <v>2016</v>
      </c>
      <c r="B782">
        <v>313</v>
      </c>
      <c r="C782">
        <v>0.33201035375323557</v>
      </c>
      <c r="D782">
        <v>0.66798964624676449</v>
      </c>
    </row>
    <row r="783" spans="1:4" x14ac:dyDescent="0.2">
      <c r="A783">
        <v>2015</v>
      </c>
      <c r="B783">
        <v>313</v>
      </c>
      <c r="C783" t="s">
        <v>25</v>
      </c>
      <c r="D783" t="s">
        <v>25</v>
      </c>
    </row>
    <row r="784" spans="1:4" x14ac:dyDescent="0.2">
      <c r="A784">
        <v>2014</v>
      </c>
      <c r="B784">
        <v>313</v>
      </c>
      <c r="C784">
        <v>0.4489586670938801</v>
      </c>
      <c r="D784">
        <v>0.5510413329061199</v>
      </c>
    </row>
    <row r="785" spans="1:4" x14ac:dyDescent="0.2">
      <c r="A785">
        <v>2013</v>
      </c>
      <c r="B785">
        <v>313</v>
      </c>
      <c r="C785">
        <v>0.29670670282836109</v>
      </c>
      <c r="D785">
        <v>0.70329329717163891</v>
      </c>
    </row>
    <row r="786" spans="1:4" x14ac:dyDescent="0.2">
      <c r="A786">
        <v>2012</v>
      </c>
      <c r="B786">
        <v>313</v>
      </c>
      <c r="C786">
        <v>0.52977850697292861</v>
      </c>
      <c r="D786">
        <v>0.47022149302707139</v>
      </c>
    </row>
    <row r="787" spans="1:4" x14ac:dyDescent="0.2">
      <c r="A787">
        <v>2011</v>
      </c>
      <c r="B787">
        <v>313</v>
      </c>
      <c r="C787">
        <v>0.59453326456936562</v>
      </c>
      <c r="D787">
        <v>0.40546673543063438</v>
      </c>
    </row>
    <row r="788" spans="1:4" x14ac:dyDescent="0.2">
      <c r="A788">
        <v>2010</v>
      </c>
      <c r="B788">
        <v>313</v>
      </c>
      <c r="C788">
        <v>0.63434847728407395</v>
      </c>
      <c r="D788">
        <v>0.36565152271592605</v>
      </c>
    </row>
    <row r="789" spans="1:4" x14ac:dyDescent="0.2">
      <c r="A789">
        <v>2009</v>
      </c>
      <c r="B789">
        <v>313</v>
      </c>
      <c r="C789">
        <v>0.53373003445036016</v>
      </c>
      <c r="D789">
        <v>0.46626996554963984</v>
      </c>
    </row>
    <row r="790" spans="1:4" x14ac:dyDescent="0.2">
      <c r="A790">
        <v>2008</v>
      </c>
      <c r="B790">
        <v>313</v>
      </c>
      <c r="C790">
        <v>0.61765013054830298</v>
      </c>
      <c r="D790">
        <v>0.38234986945169702</v>
      </c>
    </row>
    <row r="791" spans="1:4" x14ac:dyDescent="0.2">
      <c r="A791">
        <v>2007</v>
      </c>
      <c r="B791">
        <v>313</v>
      </c>
      <c r="C791">
        <v>0.67614801604993313</v>
      </c>
      <c r="D791">
        <v>0.32385198395006687</v>
      </c>
    </row>
    <row r="792" spans="1:4" x14ac:dyDescent="0.2">
      <c r="A792">
        <v>2006</v>
      </c>
      <c r="B792">
        <v>313</v>
      </c>
      <c r="C792" t="s">
        <v>25</v>
      </c>
      <c r="D792" t="s">
        <v>25</v>
      </c>
    </row>
    <row r="793" spans="1:4" x14ac:dyDescent="0.2">
      <c r="A793">
        <v>2005</v>
      </c>
      <c r="B793">
        <v>313</v>
      </c>
      <c r="C793">
        <v>0.46065573770491802</v>
      </c>
      <c r="D793">
        <v>0.53934426229508192</v>
      </c>
    </row>
    <row r="794" spans="1:4" x14ac:dyDescent="0.2">
      <c r="A794">
        <v>2004</v>
      </c>
      <c r="B794">
        <v>313</v>
      </c>
      <c r="C794">
        <v>0.25035360678925034</v>
      </c>
      <c r="D794">
        <v>0.74964639321074966</v>
      </c>
    </row>
    <row r="795" spans="1:4" x14ac:dyDescent="0.2">
      <c r="A795">
        <v>2003</v>
      </c>
      <c r="B795">
        <v>313</v>
      </c>
      <c r="C795">
        <v>0.36840536512667665</v>
      </c>
      <c r="D795">
        <v>0.63159463487332335</v>
      </c>
    </row>
    <row r="796" spans="1:4" x14ac:dyDescent="0.2">
      <c r="A796">
        <v>2002</v>
      </c>
      <c r="B796">
        <v>313</v>
      </c>
      <c r="C796">
        <v>0.66095505617977535</v>
      </c>
      <c r="D796">
        <v>0.33904494382022465</v>
      </c>
    </row>
    <row r="797" spans="1:4" x14ac:dyDescent="0.2">
      <c r="A797">
        <v>2001</v>
      </c>
      <c r="B797">
        <v>313</v>
      </c>
      <c r="C797">
        <v>0.70556621880998083</v>
      </c>
      <c r="D797">
        <v>0.29443378119001917</v>
      </c>
    </row>
    <row r="798" spans="1:4" x14ac:dyDescent="0.2">
      <c r="A798">
        <v>2000</v>
      </c>
      <c r="B798">
        <v>313</v>
      </c>
      <c r="C798">
        <v>0.67898305084745769</v>
      </c>
      <c r="D798">
        <v>0.32101694915254231</v>
      </c>
    </row>
    <row r="799" spans="1:4" x14ac:dyDescent="0.2">
      <c r="A799">
        <v>1999</v>
      </c>
      <c r="B799">
        <v>313</v>
      </c>
      <c r="C799">
        <v>0.39213483146067418</v>
      </c>
      <c r="D799">
        <v>0.60786516853932582</v>
      </c>
    </row>
    <row r="800" spans="1:4" x14ac:dyDescent="0.2">
      <c r="A800">
        <v>1998</v>
      </c>
      <c r="B800">
        <v>313</v>
      </c>
      <c r="C800">
        <v>0.43592302209550965</v>
      </c>
      <c r="D800">
        <v>0.5640769779044903</v>
      </c>
    </row>
    <row r="801" spans="1:4" x14ac:dyDescent="0.2">
      <c r="A801">
        <v>1997</v>
      </c>
      <c r="B801">
        <v>313</v>
      </c>
      <c r="C801">
        <v>0.30834097158570117</v>
      </c>
      <c r="D801">
        <v>0.69165902841429883</v>
      </c>
    </row>
    <row r="802" spans="1:4" x14ac:dyDescent="0.2">
      <c r="A802">
        <v>2021</v>
      </c>
      <c r="B802">
        <v>314</v>
      </c>
      <c r="C802" t="s">
        <v>25</v>
      </c>
      <c r="D802" t="s">
        <v>25</v>
      </c>
    </row>
    <row r="803" spans="1:4" x14ac:dyDescent="0.2">
      <c r="A803">
        <v>2020</v>
      </c>
      <c r="B803">
        <v>314</v>
      </c>
      <c r="C803" t="s">
        <v>25</v>
      </c>
      <c r="D803" t="s">
        <v>25</v>
      </c>
    </row>
    <row r="804" spans="1:4" x14ac:dyDescent="0.2">
      <c r="A804">
        <v>2019</v>
      </c>
      <c r="B804">
        <v>314</v>
      </c>
      <c r="C804" t="s">
        <v>25</v>
      </c>
      <c r="D804" t="s">
        <v>25</v>
      </c>
    </row>
    <row r="805" spans="1:4" x14ac:dyDescent="0.2">
      <c r="A805">
        <v>2018</v>
      </c>
      <c r="B805">
        <v>314</v>
      </c>
      <c r="C805" t="s">
        <v>25</v>
      </c>
      <c r="D805" t="s">
        <v>25</v>
      </c>
    </row>
    <row r="806" spans="1:4" x14ac:dyDescent="0.2">
      <c r="A806">
        <v>2017</v>
      </c>
      <c r="B806">
        <v>314</v>
      </c>
      <c r="C806" t="s">
        <v>25</v>
      </c>
      <c r="D806" t="s">
        <v>25</v>
      </c>
    </row>
    <row r="807" spans="1:4" x14ac:dyDescent="0.2">
      <c r="A807">
        <v>2016</v>
      </c>
      <c r="B807">
        <v>314</v>
      </c>
      <c r="C807" t="s">
        <v>25</v>
      </c>
      <c r="D807" t="s">
        <v>25</v>
      </c>
    </row>
    <row r="808" spans="1:4" x14ac:dyDescent="0.2">
      <c r="A808">
        <v>2015</v>
      </c>
      <c r="B808">
        <v>314</v>
      </c>
      <c r="C808">
        <v>0.45182378019895786</v>
      </c>
      <c r="D808">
        <v>0.54817621980104214</v>
      </c>
    </row>
    <row r="809" spans="1:4" x14ac:dyDescent="0.2">
      <c r="A809">
        <v>2014</v>
      </c>
      <c r="B809">
        <v>314</v>
      </c>
      <c r="C809">
        <v>0.57285714285714284</v>
      </c>
      <c r="D809">
        <v>0.42714285714285716</v>
      </c>
    </row>
    <row r="810" spans="1:4" x14ac:dyDescent="0.2">
      <c r="A810">
        <v>2013</v>
      </c>
      <c r="B810">
        <v>314</v>
      </c>
      <c r="C810" t="s">
        <v>25</v>
      </c>
      <c r="D810" t="s">
        <v>25</v>
      </c>
    </row>
    <row r="811" spans="1:4" x14ac:dyDescent="0.2">
      <c r="A811">
        <v>2012</v>
      </c>
      <c r="B811">
        <v>314</v>
      </c>
      <c r="C811">
        <v>0.35606936416184976</v>
      </c>
      <c r="D811">
        <v>0.64393063583815024</v>
      </c>
    </row>
    <row r="812" spans="1:4" x14ac:dyDescent="0.2">
      <c r="A812">
        <v>2011</v>
      </c>
      <c r="B812">
        <v>314</v>
      </c>
      <c r="C812" t="s">
        <v>25</v>
      </c>
      <c r="D812" t="s">
        <v>25</v>
      </c>
    </row>
    <row r="813" spans="1:4" x14ac:dyDescent="0.2">
      <c r="A813">
        <v>2010</v>
      </c>
      <c r="B813">
        <v>314</v>
      </c>
      <c r="C813">
        <v>0.40980533525594814</v>
      </c>
      <c r="D813">
        <v>0.59019466474405191</v>
      </c>
    </row>
    <row r="814" spans="1:4" x14ac:dyDescent="0.2">
      <c r="A814">
        <v>2009</v>
      </c>
      <c r="B814">
        <v>314</v>
      </c>
      <c r="C814">
        <v>0.48325762491888391</v>
      </c>
      <c r="D814">
        <v>0.51674237508111609</v>
      </c>
    </row>
    <row r="815" spans="1:4" x14ac:dyDescent="0.2">
      <c r="A815">
        <v>2008</v>
      </c>
      <c r="B815">
        <v>314</v>
      </c>
      <c r="C815" t="s">
        <v>25</v>
      </c>
      <c r="D815" t="s">
        <v>25</v>
      </c>
    </row>
    <row r="816" spans="1:4" x14ac:dyDescent="0.2">
      <c r="A816">
        <v>2007</v>
      </c>
      <c r="B816">
        <v>314</v>
      </c>
      <c r="C816">
        <v>0.56329479768786128</v>
      </c>
      <c r="D816">
        <v>0.43670520231213872</v>
      </c>
    </row>
    <row r="817" spans="1:4" x14ac:dyDescent="0.2">
      <c r="A817">
        <v>2006</v>
      </c>
      <c r="B817">
        <v>314</v>
      </c>
      <c r="C817">
        <v>0.50275541444608229</v>
      </c>
      <c r="D817">
        <v>0.49724458555391771</v>
      </c>
    </row>
    <row r="818" spans="1:4" x14ac:dyDescent="0.2">
      <c r="A818">
        <v>2005</v>
      </c>
      <c r="B818">
        <v>314</v>
      </c>
      <c r="C818">
        <v>0.65152542372881361</v>
      </c>
      <c r="D818">
        <v>0.34847457627118639</v>
      </c>
    </row>
    <row r="819" spans="1:4" x14ac:dyDescent="0.2">
      <c r="A819">
        <v>2004</v>
      </c>
      <c r="B819">
        <v>314</v>
      </c>
      <c r="C819" t="s">
        <v>25</v>
      </c>
      <c r="D819" t="s">
        <v>25</v>
      </c>
    </row>
    <row r="820" spans="1:4" x14ac:dyDescent="0.2">
      <c r="A820">
        <v>2003</v>
      </c>
      <c r="B820">
        <v>314</v>
      </c>
      <c r="C820">
        <v>0.72961198093941459</v>
      </c>
      <c r="D820">
        <v>0.27038801906058541</v>
      </c>
    </row>
    <row r="821" spans="1:4" x14ac:dyDescent="0.2">
      <c r="A821">
        <v>2002</v>
      </c>
      <c r="B821">
        <v>314</v>
      </c>
      <c r="C821">
        <v>0.56923907177549915</v>
      </c>
      <c r="D821">
        <v>0.43076092822450085</v>
      </c>
    </row>
    <row r="822" spans="1:4" x14ac:dyDescent="0.2">
      <c r="A822">
        <v>2001</v>
      </c>
      <c r="B822">
        <v>314</v>
      </c>
      <c r="C822" t="s">
        <v>25</v>
      </c>
      <c r="D822" t="s">
        <v>25</v>
      </c>
    </row>
    <row r="823" spans="1:4" x14ac:dyDescent="0.2">
      <c r="A823">
        <v>2000</v>
      </c>
      <c r="B823">
        <v>314</v>
      </c>
      <c r="C823">
        <v>0.69471698113207558</v>
      </c>
      <c r="D823">
        <v>0.30528301886792442</v>
      </c>
    </row>
    <row r="824" spans="1:4" x14ac:dyDescent="0.2">
      <c r="A824">
        <v>1999</v>
      </c>
      <c r="B824">
        <v>314</v>
      </c>
      <c r="C824">
        <v>0.59096045197740121</v>
      </c>
      <c r="D824">
        <v>0.40903954802259879</v>
      </c>
    </row>
    <row r="825" spans="1:4" x14ac:dyDescent="0.2">
      <c r="A825">
        <v>1998</v>
      </c>
      <c r="B825">
        <v>314</v>
      </c>
      <c r="C825">
        <v>0.60195312500000009</v>
      </c>
      <c r="D825">
        <v>0.39804687499999991</v>
      </c>
    </row>
    <row r="826" spans="1:4" x14ac:dyDescent="0.2">
      <c r="A826">
        <v>1997</v>
      </c>
      <c r="B826">
        <v>314</v>
      </c>
      <c r="C826">
        <v>0.53874066168623269</v>
      </c>
      <c r="D826">
        <v>0.46125933831376731</v>
      </c>
    </row>
    <row r="827" spans="1:4" x14ac:dyDescent="0.2">
      <c r="A827">
        <v>2021</v>
      </c>
      <c r="B827">
        <v>320</v>
      </c>
      <c r="C827">
        <v>0.43307597526356639</v>
      </c>
      <c r="D827">
        <v>0.56692402473643355</v>
      </c>
    </row>
    <row r="828" spans="1:4" x14ac:dyDescent="0.2">
      <c r="A828">
        <v>2020</v>
      </c>
      <c r="B828">
        <v>320</v>
      </c>
      <c r="C828">
        <v>0.44857006731250848</v>
      </c>
      <c r="D828">
        <v>0.55142993268749152</v>
      </c>
    </row>
    <row r="829" spans="1:4" x14ac:dyDescent="0.2">
      <c r="A829">
        <v>2019</v>
      </c>
      <c r="B829">
        <v>320</v>
      </c>
      <c r="C829">
        <v>0.50946425885864355</v>
      </c>
      <c r="D829">
        <v>0.49053574114135645</v>
      </c>
    </row>
    <row r="830" spans="1:4" x14ac:dyDescent="0.2">
      <c r="A830">
        <v>2018</v>
      </c>
      <c r="B830">
        <v>320</v>
      </c>
      <c r="C830">
        <v>0.5976485663943617</v>
      </c>
      <c r="D830">
        <v>0.4023514336056383</v>
      </c>
    </row>
    <row r="831" spans="1:4" x14ac:dyDescent="0.2">
      <c r="A831">
        <v>2017</v>
      </c>
      <c r="B831">
        <v>320</v>
      </c>
      <c r="C831">
        <v>0.62357316306950361</v>
      </c>
      <c r="D831">
        <v>0.37642683693049639</v>
      </c>
    </row>
    <row r="832" spans="1:4" x14ac:dyDescent="0.2">
      <c r="A832">
        <v>2016</v>
      </c>
      <c r="B832">
        <v>320</v>
      </c>
      <c r="C832">
        <v>0.47970588624406685</v>
      </c>
      <c r="D832">
        <v>0.52029411375593315</v>
      </c>
    </row>
    <row r="833" spans="1:4" x14ac:dyDescent="0.2">
      <c r="A833">
        <v>2015</v>
      </c>
      <c r="B833">
        <v>320</v>
      </c>
      <c r="C833">
        <v>0.54370147515527956</v>
      </c>
      <c r="D833">
        <v>0.45629852484472044</v>
      </c>
    </row>
    <row r="834" spans="1:4" x14ac:dyDescent="0.2">
      <c r="A834">
        <v>2014</v>
      </c>
      <c r="B834">
        <v>320</v>
      </c>
      <c r="C834">
        <v>0.53031366891779763</v>
      </c>
      <c r="D834">
        <v>0.46968633108220237</v>
      </c>
    </row>
    <row r="835" spans="1:4" x14ac:dyDescent="0.2">
      <c r="A835">
        <v>2013</v>
      </c>
      <c r="B835">
        <v>320</v>
      </c>
      <c r="C835">
        <v>0.55307477240862868</v>
      </c>
      <c r="D835">
        <v>0.44692522759137132</v>
      </c>
    </row>
    <row r="836" spans="1:4" x14ac:dyDescent="0.2">
      <c r="A836">
        <v>2012</v>
      </c>
      <c r="B836">
        <v>320</v>
      </c>
      <c r="C836">
        <v>0.61176800764632733</v>
      </c>
      <c r="D836">
        <v>0.38823199235367267</v>
      </c>
    </row>
    <row r="837" spans="1:4" x14ac:dyDescent="0.2">
      <c r="A837">
        <v>2011</v>
      </c>
      <c r="B837">
        <v>320</v>
      </c>
      <c r="C837">
        <v>0.50438738319037579</v>
      </c>
      <c r="D837">
        <v>0.49561261680962421</v>
      </c>
    </row>
    <row r="838" spans="1:4" x14ac:dyDescent="0.2">
      <c r="A838">
        <v>2010</v>
      </c>
      <c r="B838">
        <v>320</v>
      </c>
      <c r="C838">
        <v>0.54397741117587017</v>
      </c>
      <c r="D838">
        <v>0.45602258882412983</v>
      </c>
    </row>
    <row r="839" spans="1:4" x14ac:dyDescent="0.2">
      <c r="A839">
        <v>2009</v>
      </c>
      <c r="B839">
        <v>320</v>
      </c>
      <c r="C839">
        <v>0.59649449049437187</v>
      </c>
      <c r="D839">
        <v>0.40350550950562813</v>
      </c>
    </row>
    <row r="840" spans="1:4" x14ac:dyDescent="0.2">
      <c r="A840">
        <v>2008</v>
      </c>
      <c r="B840">
        <v>320</v>
      </c>
      <c r="C840">
        <v>0.57092017110377558</v>
      </c>
      <c r="D840">
        <v>0.42907982889622442</v>
      </c>
    </row>
    <row r="841" spans="1:4" x14ac:dyDescent="0.2">
      <c r="A841">
        <v>2007</v>
      </c>
      <c r="B841">
        <v>320</v>
      </c>
      <c r="C841">
        <v>0.53298905024462218</v>
      </c>
      <c r="D841">
        <v>0.46701094975537782</v>
      </c>
    </row>
    <row r="842" spans="1:4" x14ac:dyDescent="0.2">
      <c r="A842">
        <v>2006</v>
      </c>
      <c r="B842">
        <v>320</v>
      </c>
      <c r="C842">
        <v>0.59702034883720934</v>
      </c>
      <c r="D842">
        <v>0.40297965116279066</v>
      </c>
    </row>
    <row r="843" spans="1:4" x14ac:dyDescent="0.2">
      <c r="A843">
        <v>2005</v>
      </c>
      <c r="B843">
        <v>320</v>
      </c>
      <c r="C843">
        <v>0.63870748876261563</v>
      </c>
      <c r="D843">
        <v>0.36129251123738437</v>
      </c>
    </row>
    <row r="844" spans="1:4" x14ac:dyDescent="0.2">
      <c r="A844">
        <v>2004</v>
      </c>
      <c r="B844">
        <v>320</v>
      </c>
      <c r="C844">
        <v>0.59972156778753483</v>
      </c>
      <c r="D844">
        <v>0.40027843221246517</v>
      </c>
    </row>
    <row r="845" spans="1:4" x14ac:dyDescent="0.2">
      <c r="A845">
        <v>2003</v>
      </c>
      <c r="B845">
        <v>320</v>
      </c>
      <c r="C845">
        <v>0.57427633342267481</v>
      </c>
      <c r="D845">
        <v>0.42572366657732519</v>
      </c>
    </row>
    <row r="846" spans="1:4" x14ac:dyDescent="0.2">
      <c r="A846">
        <v>2002</v>
      </c>
      <c r="B846">
        <v>320</v>
      </c>
      <c r="C846">
        <v>0.66450950499362194</v>
      </c>
      <c r="D846">
        <v>0.33549049500637806</v>
      </c>
    </row>
    <row r="847" spans="1:4" x14ac:dyDescent="0.2">
      <c r="A847">
        <v>2001</v>
      </c>
      <c r="B847">
        <v>320</v>
      </c>
      <c r="C847">
        <v>0.6513737836290785</v>
      </c>
      <c r="D847">
        <v>0.3486262163709215</v>
      </c>
    </row>
    <row r="848" spans="1:4" x14ac:dyDescent="0.2">
      <c r="A848">
        <v>2000</v>
      </c>
      <c r="B848">
        <v>320</v>
      </c>
      <c r="C848">
        <v>0.53487528344671209</v>
      </c>
      <c r="D848">
        <v>0.46512471655328791</v>
      </c>
    </row>
    <row r="849" spans="1:4" x14ac:dyDescent="0.2">
      <c r="A849">
        <v>1999</v>
      </c>
      <c r="B849">
        <v>320</v>
      </c>
      <c r="C849">
        <v>0.48945868945868948</v>
      </c>
      <c r="D849">
        <v>0.51054131054131058</v>
      </c>
    </row>
    <row r="850" spans="1:4" x14ac:dyDescent="0.2">
      <c r="A850">
        <v>1998</v>
      </c>
      <c r="B850">
        <v>320</v>
      </c>
      <c r="C850">
        <v>0.53502942851718249</v>
      </c>
      <c r="D850">
        <v>0.46497057148281751</v>
      </c>
    </row>
    <row r="851" spans="1:4" x14ac:dyDescent="0.2">
      <c r="A851">
        <v>1997</v>
      </c>
      <c r="B851">
        <v>320</v>
      </c>
      <c r="C851">
        <v>0.57479254359591103</v>
      </c>
      <c r="D851">
        <v>0.42520745640408897</v>
      </c>
    </row>
    <row r="852" spans="1:4" x14ac:dyDescent="0.2">
      <c r="A852">
        <v>2021</v>
      </c>
      <c r="B852">
        <v>321</v>
      </c>
      <c r="C852">
        <v>0.35555903049257231</v>
      </c>
      <c r="D852">
        <v>0.64444096950742769</v>
      </c>
    </row>
    <row r="853" spans="1:4" x14ac:dyDescent="0.2">
      <c r="A853">
        <v>2020</v>
      </c>
      <c r="B853">
        <v>321</v>
      </c>
      <c r="C853">
        <v>0.38595806923451981</v>
      </c>
      <c r="D853">
        <v>0.61404193076548019</v>
      </c>
    </row>
    <row r="854" spans="1:4" x14ac:dyDescent="0.2">
      <c r="A854">
        <v>2019</v>
      </c>
      <c r="B854">
        <v>321</v>
      </c>
      <c r="C854">
        <v>0.45447412851325852</v>
      </c>
      <c r="D854">
        <v>0.54552587148674148</v>
      </c>
    </row>
    <row r="855" spans="1:4" x14ac:dyDescent="0.2">
      <c r="A855">
        <v>2018</v>
      </c>
      <c r="B855">
        <v>321</v>
      </c>
      <c r="C855">
        <v>0.73320509526082023</v>
      </c>
      <c r="D855">
        <v>0.26679490473917977</v>
      </c>
    </row>
    <row r="856" spans="1:4" x14ac:dyDescent="0.2">
      <c r="A856">
        <v>2017</v>
      </c>
      <c r="B856">
        <v>321</v>
      </c>
      <c r="C856">
        <v>0.74310521596219703</v>
      </c>
      <c r="D856">
        <v>0.25689478403780297</v>
      </c>
    </row>
    <row r="857" spans="1:4" x14ac:dyDescent="0.2">
      <c r="A857">
        <v>2016</v>
      </c>
      <c r="B857">
        <v>321</v>
      </c>
      <c r="C857">
        <v>0.40014279081764248</v>
      </c>
      <c r="D857">
        <v>0.59985720918235752</v>
      </c>
    </row>
    <row r="858" spans="1:4" x14ac:dyDescent="0.2">
      <c r="A858">
        <v>2015</v>
      </c>
      <c r="B858">
        <v>321</v>
      </c>
      <c r="C858">
        <v>0.50311189678550527</v>
      </c>
      <c r="D858">
        <v>0.49688810321449473</v>
      </c>
    </row>
    <row r="859" spans="1:4" x14ac:dyDescent="0.2">
      <c r="A859">
        <v>2014</v>
      </c>
      <c r="B859">
        <v>321</v>
      </c>
      <c r="C859">
        <v>0.55376872659176035</v>
      </c>
      <c r="D859">
        <v>0.44623127340823965</v>
      </c>
    </row>
    <row r="860" spans="1:4" x14ac:dyDescent="0.2">
      <c r="A860">
        <v>2013</v>
      </c>
      <c r="B860">
        <v>321</v>
      </c>
      <c r="C860">
        <v>0.50933099499664725</v>
      </c>
      <c r="D860">
        <v>0.49066900500335275</v>
      </c>
    </row>
    <row r="861" spans="1:4" x14ac:dyDescent="0.2">
      <c r="A861">
        <v>2012</v>
      </c>
      <c r="B861">
        <v>321</v>
      </c>
      <c r="C861">
        <v>0.61169663989642553</v>
      </c>
      <c r="D861">
        <v>0.38830336010357447</v>
      </c>
    </row>
    <row r="862" spans="1:4" x14ac:dyDescent="0.2">
      <c r="A862">
        <v>2011</v>
      </c>
      <c r="B862">
        <v>321</v>
      </c>
      <c r="C862">
        <v>0.64172467025972968</v>
      </c>
      <c r="D862">
        <v>0.35827532974027032</v>
      </c>
    </row>
    <row r="863" spans="1:4" x14ac:dyDescent="0.2">
      <c r="A863">
        <v>2010</v>
      </c>
      <c r="B863">
        <v>321</v>
      </c>
      <c r="C863">
        <v>0.64092104390869109</v>
      </c>
      <c r="D863">
        <v>0.35907895609130891</v>
      </c>
    </row>
    <row r="864" spans="1:4" x14ac:dyDescent="0.2">
      <c r="A864">
        <v>2009</v>
      </c>
      <c r="B864">
        <v>321</v>
      </c>
      <c r="C864">
        <v>0.70196773621698283</v>
      </c>
      <c r="D864">
        <v>0.29803226378301717</v>
      </c>
    </row>
    <row r="865" spans="1:4" x14ac:dyDescent="0.2">
      <c r="A865">
        <v>2008</v>
      </c>
      <c r="B865">
        <v>321</v>
      </c>
      <c r="C865">
        <v>0.66412995497483895</v>
      </c>
      <c r="D865">
        <v>0.33587004502516105</v>
      </c>
    </row>
    <row r="866" spans="1:4" x14ac:dyDescent="0.2">
      <c r="A866">
        <v>2007</v>
      </c>
      <c r="B866">
        <v>321</v>
      </c>
      <c r="C866">
        <v>0.55024055557879759</v>
      </c>
      <c r="D866">
        <v>0.44975944442120241</v>
      </c>
    </row>
    <row r="867" spans="1:4" x14ac:dyDescent="0.2">
      <c r="A867">
        <v>2006</v>
      </c>
      <c r="B867">
        <v>321</v>
      </c>
      <c r="C867">
        <v>0.63355798781474093</v>
      </c>
      <c r="D867">
        <v>0.36644201218525907</v>
      </c>
    </row>
    <row r="868" spans="1:4" x14ac:dyDescent="0.2">
      <c r="A868">
        <v>2005</v>
      </c>
      <c r="B868">
        <v>321</v>
      </c>
      <c r="C868">
        <v>0.62214315613227278</v>
      </c>
      <c r="D868">
        <v>0.37785684386772722</v>
      </c>
    </row>
    <row r="869" spans="1:4" x14ac:dyDescent="0.2">
      <c r="A869">
        <v>2004</v>
      </c>
      <c r="B869">
        <v>321</v>
      </c>
      <c r="C869">
        <v>0.59677814743477497</v>
      </c>
      <c r="D869">
        <v>0.40322185256522503</v>
      </c>
    </row>
    <row r="870" spans="1:4" x14ac:dyDescent="0.2">
      <c r="A870">
        <v>2003</v>
      </c>
      <c r="B870">
        <v>321</v>
      </c>
      <c r="C870">
        <v>0.56677621750821627</v>
      </c>
      <c r="D870">
        <v>0.43322378249178373</v>
      </c>
    </row>
    <row r="871" spans="1:4" x14ac:dyDescent="0.2">
      <c r="A871">
        <v>2002</v>
      </c>
      <c r="B871">
        <v>321</v>
      </c>
      <c r="C871">
        <v>0.61929883138564279</v>
      </c>
      <c r="D871">
        <v>0.38070116861435721</v>
      </c>
    </row>
    <row r="872" spans="1:4" x14ac:dyDescent="0.2">
      <c r="A872">
        <v>2001</v>
      </c>
      <c r="B872">
        <v>321</v>
      </c>
      <c r="C872">
        <v>0.62406287787182591</v>
      </c>
      <c r="D872">
        <v>0.37593712212817409</v>
      </c>
    </row>
    <row r="873" spans="1:4" x14ac:dyDescent="0.2">
      <c r="A873">
        <v>2000</v>
      </c>
      <c r="B873">
        <v>321</v>
      </c>
      <c r="C873">
        <v>0.52654593225110269</v>
      </c>
      <c r="D873">
        <v>0.47345406774889731</v>
      </c>
    </row>
    <row r="874" spans="1:4" x14ac:dyDescent="0.2">
      <c r="A874">
        <v>1999</v>
      </c>
      <c r="B874">
        <v>321</v>
      </c>
      <c r="C874">
        <v>0.54703227571115975</v>
      </c>
      <c r="D874">
        <v>0.45296772428884025</v>
      </c>
    </row>
    <row r="875" spans="1:4" x14ac:dyDescent="0.2">
      <c r="A875">
        <v>1998</v>
      </c>
      <c r="B875">
        <v>321</v>
      </c>
      <c r="C875">
        <v>0.66805819887597451</v>
      </c>
      <c r="D875">
        <v>0.33194180112402549</v>
      </c>
    </row>
    <row r="876" spans="1:4" x14ac:dyDescent="0.2">
      <c r="A876">
        <v>1997</v>
      </c>
      <c r="B876">
        <v>321</v>
      </c>
      <c r="C876">
        <v>0.7214612444388746</v>
      </c>
      <c r="D876">
        <v>0.2785387555611254</v>
      </c>
    </row>
    <row r="877" spans="1:4" x14ac:dyDescent="0.2">
      <c r="A877">
        <v>2021</v>
      </c>
      <c r="B877">
        <v>322</v>
      </c>
      <c r="C877" t="s">
        <v>25</v>
      </c>
      <c r="D877" t="s">
        <v>25</v>
      </c>
    </row>
    <row r="878" spans="1:4" x14ac:dyDescent="0.2">
      <c r="A878">
        <v>2020</v>
      </c>
      <c r="B878">
        <v>322</v>
      </c>
      <c r="C878" t="s">
        <v>25</v>
      </c>
      <c r="D878" t="s">
        <v>25</v>
      </c>
    </row>
    <row r="879" spans="1:4" x14ac:dyDescent="0.2">
      <c r="A879">
        <v>2019</v>
      </c>
      <c r="B879">
        <v>322</v>
      </c>
      <c r="C879">
        <v>0.31174455255584493</v>
      </c>
      <c r="D879">
        <v>0.68825544744415512</v>
      </c>
    </row>
    <row r="880" spans="1:4" x14ac:dyDescent="0.2">
      <c r="A880">
        <v>2018</v>
      </c>
      <c r="B880">
        <v>322</v>
      </c>
      <c r="C880" t="s">
        <v>25</v>
      </c>
      <c r="D880" t="s">
        <v>25</v>
      </c>
    </row>
    <row r="881" spans="1:4" x14ac:dyDescent="0.2">
      <c r="A881">
        <v>2017</v>
      </c>
      <c r="B881">
        <v>322</v>
      </c>
      <c r="C881">
        <v>0.28329912297070353</v>
      </c>
      <c r="D881">
        <v>0.71670087702929641</v>
      </c>
    </row>
    <row r="882" spans="1:4" x14ac:dyDescent="0.2">
      <c r="A882">
        <v>2016</v>
      </c>
      <c r="B882">
        <v>322</v>
      </c>
      <c r="C882" t="s">
        <v>25</v>
      </c>
      <c r="D882" t="s">
        <v>25</v>
      </c>
    </row>
    <row r="883" spans="1:4" x14ac:dyDescent="0.2">
      <c r="A883">
        <v>2015</v>
      </c>
      <c r="B883">
        <v>322</v>
      </c>
      <c r="C883">
        <v>0.41370517928286854</v>
      </c>
      <c r="D883">
        <v>0.58629482071713146</v>
      </c>
    </row>
    <row r="884" spans="1:4" x14ac:dyDescent="0.2">
      <c r="A884">
        <v>2014</v>
      </c>
      <c r="B884">
        <v>322</v>
      </c>
      <c r="C884">
        <v>0.25091610414657667</v>
      </c>
      <c r="D884">
        <v>0.74908389585342339</v>
      </c>
    </row>
    <row r="885" spans="1:4" x14ac:dyDescent="0.2">
      <c r="A885">
        <v>2013</v>
      </c>
      <c r="B885">
        <v>322</v>
      </c>
      <c r="C885" t="s">
        <v>25</v>
      </c>
      <c r="D885" t="s">
        <v>25</v>
      </c>
    </row>
    <row r="886" spans="1:4" x14ac:dyDescent="0.2">
      <c r="A886">
        <v>2012</v>
      </c>
      <c r="B886">
        <v>322</v>
      </c>
      <c r="C886" t="s">
        <v>25</v>
      </c>
      <c r="D886" t="s">
        <v>25</v>
      </c>
    </row>
    <row r="887" spans="1:4" x14ac:dyDescent="0.2">
      <c r="A887">
        <v>2011</v>
      </c>
      <c r="B887">
        <v>322</v>
      </c>
      <c r="C887">
        <v>0.49642940490081683</v>
      </c>
      <c r="D887">
        <v>0.50357059509918312</v>
      </c>
    </row>
    <row r="888" spans="1:4" x14ac:dyDescent="0.2">
      <c r="A888">
        <v>2010</v>
      </c>
      <c r="B888">
        <v>322</v>
      </c>
      <c r="C888" t="s">
        <v>25</v>
      </c>
      <c r="D888" t="s">
        <v>25</v>
      </c>
    </row>
    <row r="889" spans="1:4" x14ac:dyDescent="0.2">
      <c r="A889">
        <v>2009</v>
      </c>
      <c r="B889">
        <v>322</v>
      </c>
      <c r="C889" t="s">
        <v>25</v>
      </c>
      <c r="D889" t="s">
        <v>25</v>
      </c>
    </row>
    <row r="890" spans="1:4" x14ac:dyDescent="0.2">
      <c r="A890">
        <v>2008</v>
      </c>
      <c r="B890">
        <v>322</v>
      </c>
      <c r="C890" t="s">
        <v>25</v>
      </c>
      <c r="D890" t="s">
        <v>25</v>
      </c>
    </row>
    <row r="891" spans="1:4" x14ac:dyDescent="0.2">
      <c r="A891">
        <v>2007</v>
      </c>
      <c r="B891">
        <v>322</v>
      </c>
      <c r="C891" t="s">
        <v>25</v>
      </c>
      <c r="D891" t="s">
        <v>25</v>
      </c>
    </row>
    <row r="892" spans="1:4" x14ac:dyDescent="0.2">
      <c r="A892">
        <v>2006</v>
      </c>
      <c r="B892">
        <v>322</v>
      </c>
      <c r="C892" t="s">
        <v>25</v>
      </c>
      <c r="D892" t="s">
        <v>25</v>
      </c>
    </row>
    <row r="893" spans="1:4" x14ac:dyDescent="0.2">
      <c r="A893">
        <v>2005</v>
      </c>
      <c r="B893">
        <v>322</v>
      </c>
      <c r="C893" t="s">
        <v>25</v>
      </c>
      <c r="D893" t="s">
        <v>25</v>
      </c>
    </row>
    <row r="894" spans="1:4" x14ac:dyDescent="0.2">
      <c r="A894">
        <v>2004</v>
      </c>
      <c r="B894">
        <v>322</v>
      </c>
      <c r="C894" t="s">
        <v>25</v>
      </c>
      <c r="D894" t="s">
        <v>25</v>
      </c>
    </row>
    <row r="895" spans="1:4" x14ac:dyDescent="0.2">
      <c r="A895">
        <v>2003</v>
      </c>
      <c r="B895">
        <v>322</v>
      </c>
      <c r="C895" t="s">
        <v>25</v>
      </c>
      <c r="D895" t="s">
        <v>25</v>
      </c>
    </row>
    <row r="896" spans="1:4" x14ac:dyDescent="0.2">
      <c r="A896">
        <v>2002</v>
      </c>
      <c r="B896">
        <v>322</v>
      </c>
      <c r="C896">
        <v>0.60481457384515303</v>
      </c>
      <c r="D896">
        <v>0.39518542615484697</v>
      </c>
    </row>
    <row r="897" spans="1:4" x14ac:dyDescent="0.2">
      <c r="A897">
        <v>2001</v>
      </c>
      <c r="B897">
        <v>322</v>
      </c>
      <c r="C897" t="s">
        <v>25</v>
      </c>
      <c r="D897" t="s">
        <v>25</v>
      </c>
    </row>
    <row r="898" spans="1:4" x14ac:dyDescent="0.2">
      <c r="A898">
        <v>2000</v>
      </c>
      <c r="B898">
        <v>322</v>
      </c>
      <c r="C898" t="s">
        <v>25</v>
      </c>
      <c r="D898" t="s">
        <v>25</v>
      </c>
    </row>
    <row r="899" spans="1:4" x14ac:dyDescent="0.2">
      <c r="A899">
        <v>1999</v>
      </c>
      <c r="B899">
        <v>322</v>
      </c>
      <c r="C899" t="s">
        <v>25</v>
      </c>
      <c r="D899" t="s">
        <v>25</v>
      </c>
    </row>
    <row r="900" spans="1:4" x14ac:dyDescent="0.2">
      <c r="A900">
        <v>1998</v>
      </c>
      <c r="B900">
        <v>322</v>
      </c>
      <c r="C900" t="s">
        <v>25</v>
      </c>
      <c r="D900" t="s">
        <v>25</v>
      </c>
    </row>
    <row r="901" spans="1:4" x14ac:dyDescent="0.2">
      <c r="A901">
        <v>1997</v>
      </c>
      <c r="B901">
        <v>322</v>
      </c>
      <c r="C901" t="s">
        <v>25</v>
      </c>
      <c r="D901" t="s">
        <v>25</v>
      </c>
    </row>
    <row r="902" spans="1:4" x14ac:dyDescent="0.2">
      <c r="A902">
        <v>2021</v>
      </c>
      <c r="B902">
        <v>323</v>
      </c>
      <c r="C902" t="s">
        <v>25</v>
      </c>
      <c r="D902" t="s">
        <v>25</v>
      </c>
    </row>
    <row r="903" spans="1:4" x14ac:dyDescent="0.2">
      <c r="A903">
        <v>2020</v>
      </c>
      <c r="B903">
        <v>323</v>
      </c>
      <c r="C903">
        <v>0.48736842105263162</v>
      </c>
      <c r="D903">
        <v>0.51263157894736833</v>
      </c>
    </row>
    <row r="904" spans="1:4" x14ac:dyDescent="0.2">
      <c r="A904">
        <v>2019</v>
      </c>
      <c r="B904">
        <v>323</v>
      </c>
      <c r="C904" t="s">
        <v>25</v>
      </c>
      <c r="D904" t="s">
        <v>25</v>
      </c>
    </row>
    <row r="905" spans="1:4" x14ac:dyDescent="0.2">
      <c r="A905">
        <v>2018</v>
      </c>
      <c r="B905">
        <v>323</v>
      </c>
      <c r="C905" t="s">
        <v>25</v>
      </c>
      <c r="D905" t="s">
        <v>25</v>
      </c>
    </row>
    <row r="906" spans="1:4" x14ac:dyDescent="0.2">
      <c r="A906">
        <v>2017</v>
      </c>
      <c r="B906">
        <v>323</v>
      </c>
      <c r="C906" t="s">
        <v>25</v>
      </c>
      <c r="D906" t="s">
        <v>25</v>
      </c>
    </row>
    <row r="907" spans="1:4" x14ac:dyDescent="0.2">
      <c r="A907">
        <v>2016</v>
      </c>
      <c r="B907">
        <v>323</v>
      </c>
      <c r="C907" t="s">
        <v>25</v>
      </c>
      <c r="D907" t="s">
        <v>25</v>
      </c>
    </row>
    <row r="908" spans="1:4" x14ac:dyDescent="0.2">
      <c r="A908">
        <v>2015</v>
      </c>
      <c r="B908">
        <v>323</v>
      </c>
      <c r="C908">
        <v>0.38344011828486935</v>
      </c>
      <c r="D908">
        <v>0.61655988171513065</v>
      </c>
    </row>
    <row r="909" spans="1:4" x14ac:dyDescent="0.2">
      <c r="A909">
        <v>2014</v>
      </c>
      <c r="B909">
        <v>323</v>
      </c>
      <c r="C909" t="s">
        <v>25</v>
      </c>
      <c r="D909" t="s">
        <v>25</v>
      </c>
    </row>
    <row r="910" spans="1:4" x14ac:dyDescent="0.2">
      <c r="A910">
        <v>2013</v>
      </c>
      <c r="B910">
        <v>323</v>
      </c>
      <c r="C910" t="s">
        <v>25</v>
      </c>
      <c r="D910" t="s">
        <v>25</v>
      </c>
    </row>
    <row r="911" spans="1:4" x14ac:dyDescent="0.2">
      <c r="A911">
        <v>2012</v>
      </c>
      <c r="B911">
        <v>323</v>
      </c>
      <c r="C911" t="s">
        <v>25</v>
      </c>
      <c r="D911" t="s">
        <v>25</v>
      </c>
    </row>
    <row r="912" spans="1:4" x14ac:dyDescent="0.2">
      <c r="A912">
        <v>2011</v>
      </c>
      <c r="B912">
        <v>323</v>
      </c>
      <c r="C912">
        <v>0.39917920656634748</v>
      </c>
      <c r="D912">
        <v>0.60082079343365247</v>
      </c>
    </row>
    <row r="913" spans="1:4" x14ac:dyDescent="0.2">
      <c r="A913">
        <v>2010</v>
      </c>
      <c r="B913">
        <v>323</v>
      </c>
      <c r="C913" t="s">
        <v>25</v>
      </c>
      <c r="D913" t="s">
        <v>25</v>
      </c>
    </row>
    <row r="914" spans="1:4" x14ac:dyDescent="0.2">
      <c r="A914">
        <v>2009</v>
      </c>
      <c r="B914">
        <v>323</v>
      </c>
      <c r="C914">
        <v>0.30194174757281556</v>
      </c>
      <c r="D914">
        <v>0.69805825242718444</v>
      </c>
    </row>
    <row r="915" spans="1:4" x14ac:dyDescent="0.2">
      <c r="A915">
        <v>2008</v>
      </c>
      <c r="B915">
        <v>323</v>
      </c>
      <c r="C915" t="s">
        <v>25</v>
      </c>
      <c r="D915" t="s">
        <v>25</v>
      </c>
    </row>
    <row r="916" spans="1:4" x14ac:dyDescent="0.2">
      <c r="A916">
        <v>2007</v>
      </c>
      <c r="B916">
        <v>323</v>
      </c>
      <c r="C916" t="s">
        <v>25</v>
      </c>
      <c r="D916" t="s">
        <v>25</v>
      </c>
    </row>
    <row r="917" spans="1:4" x14ac:dyDescent="0.2">
      <c r="A917">
        <v>2006</v>
      </c>
      <c r="B917">
        <v>323</v>
      </c>
      <c r="C917" t="s">
        <v>25</v>
      </c>
      <c r="D917" t="s">
        <v>25</v>
      </c>
    </row>
    <row r="918" spans="1:4" x14ac:dyDescent="0.2">
      <c r="A918">
        <v>2005</v>
      </c>
      <c r="B918">
        <v>323</v>
      </c>
      <c r="C918" t="s">
        <v>25</v>
      </c>
      <c r="D918" t="s">
        <v>25</v>
      </c>
    </row>
    <row r="919" spans="1:4" x14ac:dyDescent="0.2">
      <c r="A919">
        <v>2004</v>
      </c>
      <c r="B919">
        <v>323</v>
      </c>
      <c r="C919" t="s">
        <v>25</v>
      </c>
      <c r="D919" t="s">
        <v>25</v>
      </c>
    </row>
    <row r="920" spans="1:4" x14ac:dyDescent="0.2">
      <c r="A920">
        <v>2003</v>
      </c>
      <c r="B920">
        <v>323</v>
      </c>
      <c r="C920" t="s">
        <v>25</v>
      </c>
      <c r="D920" t="s">
        <v>25</v>
      </c>
    </row>
    <row r="921" spans="1:4" x14ac:dyDescent="0.2">
      <c r="A921">
        <v>2002</v>
      </c>
      <c r="B921">
        <v>323</v>
      </c>
      <c r="C921" t="s">
        <v>25</v>
      </c>
      <c r="D921" t="s">
        <v>25</v>
      </c>
    </row>
    <row r="922" spans="1:4" x14ac:dyDescent="0.2">
      <c r="A922">
        <v>2001</v>
      </c>
      <c r="B922">
        <v>323</v>
      </c>
      <c r="C922" t="s">
        <v>25</v>
      </c>
      <c r="D922" t="s">
        <v>25</v>
      </c>
    </row>
    <row r="923" spans="1:4" x14ac:dyDescent="0.2">
      <c r="A923">
        <v>2000</v>
      </c>
      <c r="B923">
        <v>323</v>
      </c>
      <c r="C923" t="s">
        <v>25</v>
      </c>
      <c r="D923" t="s">
        <v>25</v>
      </c>
    </row>
    <row r="924" spans="1:4" x14ac:dyDescent="0.2">
      <c r="A924">
        <v>1999</v>
      </c>
      <c r="B924">
        <v>323</v>
      </c>
      <c r="C924">
        <v>0.65865384615384626</v>
      </c>
      <c r="D924">
        <v>0.34134615384615374</v>
      </c>
    </row>
    <row r="925" spans="1:4" x14ac:dyDescent="0.2">
      <c r="A925">
        <v>1998</v>
      </c>
      <c r="B925">
        <v>323</v>
      </c>
      <c r="C925" t="s">
        <v>25</v>
      </c>
      <c r="D925" t="s">
        <v>25</v>
      </c>
    </row>
    <row r="926" spans="1:4" x14ac:dyDescent="0.2">
      <c r="A926">
        <v>1997</v>
      </c>
      <c r="B926">
        <v>323</v>
      </c>
      <c r="C926" t="s">
        <v>25</v>
      </c>
      <c r="D926" t="s">
        <v>25</v>
      </c>
    </row>
    <row r="927" spans="1:4" x14ac:dyDescent="0.2">
      <c r="A927">
        <v>2021</v>
      </c>
      <c r="B927">
        <v>324</v>
      </c>
      <c r="C927" t="s">
        <v>25</v>
      </c>
      <c r="D927" t="s">
        <v>25</v>
      </c>
    </row>
    <row r="928" spans="1:4" x14ac:dyDescent="0.2">
      <c r="A928">
        <v>2020</v>
      </c>
      <c r="B928">
        <v>324</v>
      </c>
      <c r="C928" t="s">
        <v>25</v>
      </c>
      <c r="D928" t="s">
        <v>25</v>
      </c>
    </row>
    <row r="929" spans="1:4" x14ac:dyDescent="0.2">
      <c r="A929">
        <v>2019</v>
      </c>
      <c r="B929">
        <v>324</v>
      </c>
      <c r="C929">
        <v>0.34755582377791194</v>
      </c>
      <c r="D929">
        <v>0.65244417622208806</v>
      </c>
    </row>
    <row r="930" spans="1:4" x14ac:dyDescent="0.2">
      <c r="A930">
        <v>2018</v>
      </c>
      <c r="B930">
        <v>324</v>
      </c>
      <c r="C930" t="s">
        <v>25</v>
      </c>
      <c r="D930" t="s">
        <v>25</v>
      </c>
    </row>
    <row r="931" spans="1:4" x14ac:dyDescent="0.2">
      <c r="A931">
        <v>2017</v>
      </c>
      <c r="B931">
        <v>324</v>
      </c>
      <c r="C931">
        <v>0.41370926021727883</v>
      </c>
      <c r="D931">
        <v>0.58629073978272117</v>
      </c>
    </row>
    <row r="932" spans="1:4" x14ac:dyDescent="0.2">
      <c r="A932">
        <v>2016</v>
      </c>
      <c r="B932">
        <v>324</v>
      </c>
      <c r="C932">
        <v>0.52813008130081307</v>
      </c>
      <c r="D932">
        <v>0.47186991869918693</v>
      </c>
    </row>
    <row r="933" spans="1:4" x14ac:dyDescent="0.2">
      <c r="A933">
        <v>2015</v>
      </c>
      <c r="B933">
        <v>324</v>
      </c>
      <c r="C933">
        <v>0.41346963319302465</v>
      </c>
      <c r="D933">
        <v>0.58653036680697535</v>
      </c>
    </row>
    <row r="934" spans="1:4" x14ac:dyDescent="0.2">
      <c r="A934">
        <v>2014</v>
      </c>
      <c r="B934">
        <v>324</v>
      </c>
      <c r="C934">
        <v>0.31622764227642275</v>
      </c>
      <c r="D934">
        <v>0.68377235772357725</v>
      </c>
    </row>
    <row r="935" spans="1:4" x14ac:dyDescent="0.2">
      <c r="A935">
        <v>2013</v>
      </c>
      <c r="B935">
        <v>324</v>
      </c>
      <c r="C935">
        <v>0.2362903225806452</v>
      </c>
      <c r="D935">
        <v>0.7637096774193548</v>
      </c>
    </row>
    <row r="936" spans="1:4" x14ac:dyDescent="0.2">
      <c r="A936">
        <v>2012</v>
      </c>
      <c r="B936">
        <v>324</v>
      </c>
      <c r="C936" t="s">
        <v>25</v>
      </c>
      <c r="D936" t="s">
        <v>25</v>
      </c>
    </row>
    <row r="937" spans="1:4" x14ac:dyDescent="0.2">
      <c r="A937">
        <v>2011</v>
      </c>
      <c r="B937">
        <v>324</v>
      </c>
      <c r="C937">
        <v>0.25683462702276016</v>
      </c>
      <c r="D937">
        <v>0.74316537297723984</v>
      </c>
    </row>
    <row r="938" spans="1:4" x14ac:dyDescent="0.2">
      <c r="A938">
        <v>2010</v>
      </c>
      <c r="B938">
        <v>324</v>
      </c>
      <c r="C938">
        <v>0.25661623108665754</v>
      </c>
      <c r="D938">
        <v>0.74338376891334246</v>
      </c>
    </row>
    <row r="939" spans="1:4" x14ac:dyDescent="0.2">
      <c r="A939">
        <v>2009</v>
      </c>
      <c r="B939">
        <v>324</v>
      </c>
      <c r="C939">
        <v>0.49681227863046046</v>
      </c>
      <c r="D939">
        <v>0.50318772136953949</v>
      </c>
    </row>
    <row r="940" spans="1:4" x14ac:dyDescent="0.2">
      <c r="A940">
        <v>2008</v>
      </c>
      <c r="B940">
        <v>324</v>
      </c>
      <c r="C940">
        <v>0.68377723970944304</v>
      </c>
      <c r="D940">
        <v>0.31622276029055696</v>
      </c>
    </row>
    <row r="941" spans="1:4" x14ac:dyDescent="0.2">
      <c r="A941">
        <v>2007</v>
      </c>
      <c r="B941">
        <v>324</v>
      </c>
      <c r="C941" t="s">
        <v>25</v>
      </c>
      <c r="D941" t="s">
        <v>25</v>
      </c>
    </row>
    <row r="942" spans="1:4" x14ac:dyDescent="0.2">
      <c r="A942">
        <v>2006</v>
      </c>
      <c r="B942">
        <v>324</v>
      </c>
      <c r="C942" t="s">
        <v>25</v>
      </c>
      <c r="D942" t="s">
        <v>25</v>
      </c>
    </row>
    <row r="943" spans="1:4" x14ac:dyDescent="0.2">
      <c r="A943">
        <v>2005</v>
      </c>
      <c r="B943">
        <v>324</v>
      </c>
      <c r="C943" t="s">
        <v>25</v>
      </c>
      <c r="D943" t="s">
        <v>25</v>
      </c>
    </row>
    <row r="944" spans="1:4" x14ac:dyDescent="0.2">
      <c r="A944">
        <v>2004</v>
      </c>
      <c r="B944">
        <v>324</v>
      </c>
      <c r="C944" t="s">
        <v>25</v>
      </c>
      <c r="D944" t="s">
        <v>25</v>
      </c>
    </row>
    <row r="945" spans="1:4" x14ac:dyDescent="0.2">
      <c r="A945">
        <v>2003</v>
      </c>
      <c r="B945">
        <v>324</v>
      </c>
      <c r="C945" t="s">
        <v>25</v>
      </c>
      <c r="D945" t="s">
        <v>25</v>
      </c>
    </row>
    <row r="946" spans="1:4" x14ac:dyDescent="0.2">
      <c r="A946">
        <v>2002</v>
      </c>
      <c r="B946">
        <v>324</v>
      </c>
      <c r="C946" t="s">
        <v>25</v>
      </c>
      <c r="D946" t="s">
        <v>25</v>
      </c>
    </row>
    <row r="947" spans="1:4" x14ac:dyDescent="0.2">
      <c r="A947">
        <v>2001</v>
      </c>
      <c r="B947">
        <v>324</v>
      </c>
      <c r="C947" t="s">
        <v>25</v>
      </c>
      <c r="D947" t="s">
        <v>25</v>
      </c>
    </row>
    <row r="948" spans="1:4" x14ac:dyDescent="0.2">
      <c r="A948">
        <v>2000</v>
      </c>
      <c r="B948">
        <v>324</v>
      </c>
      <c r="C948" t="s">
        <v>25</v>
      </c>
      <c r="D948" t="s">
        <v>25</v>
      </c>
    </row>
    <row r="949" spans="1:4" x14ac:dyDescent="0.2">
      <c r="A949">
        <v>1999</v>
      </c>
      <c r="B949">
        <v>324</v>
      </c>
      <c r="C949" t="s">
        <v>25</v>
      </c>
      <c r="D949" t="s">
        <v>25</v>
      </c>
    </row>
    <row r="950" spans="1:4" x14ac:dyDescent="0.2">
      <c r="A950">
        <v>1998</v>
      </c>
      <c r="B950">
        <v>324</v>
      </c>
      <c r="C950" t="s">
        <v>25</v>
      </c>
      <c r="D950" t="s">
        <v>25</v>
      </c>
    </row>
    <row r="951" spans="1:4" x14ac:dyDescent="0.2">
      <c r="A951">
        <v>1997</v>
      </c>
      <c r="B951">
        <v>324</v>
      </c>
      <c r="C951">
        <v>0.53118279569892479</v>
      </c>
      <c r="D951">
        <v>0.46881720430107521</v>
      </c>
    </row>
    <row r="952" spans="1:4" x14ac:dyDescent="0.2">
      <c r="A952">
        <v>2021</v>
      </c>
      <c r="B952">
        <v>325</v>
      </c>
      <c r="C952" t="s">
        <v>25</v>
      </c>
      <c r="D952" t="s">
        <v>25</v>
      </c>
    </row>
    <row r="953" spans="1:4" x14ac:dyDescent="0.2">
      <c r="A953">
        <v>2020</v>
      </c>
      <c r="B953">
        <v>325</v>
      </c>
      <c r="C953" t="s">
        <v>25</v>
      </c>
      <c r="D953" t="s">
        <v>25</v>
      </c>
    </row>
    <row r="954" spans="1:4" x14ac:dyDescent="0.2">
      <c r="A954">
        <v>2019</v>
      </c>
      <c r="B954">
        <v>325</v>
      </c>
      <c r="C954" t="s">
        <v>25</v>
      </c>
      <c r="D954" t="s">
        <v>25</v>
      </c>
    </row>
    <row r="955" spans="1:4" x14ac:dyDescent="0.2">
      <c r="A955">
        <v>2018</v>
      </c>
      <c r="B955">
        <v>325</v>
      </c>
      <c r="C955">
        <v>0.34067995310668231</v>
      </c>
      <c r="D955">
        <v>0.65932004689331769</v>
      </c>
    </row>
    <row r="956" spans="1:4" x14ac:dyDescent="0.2">
      <c r="A956">
        <v>2017</v>
      </c>
      <c r="B956">
        <v>325</v>
      </c>
      <c r="C956">
        <v>0.63944993553932106</v>
      </c>
      <c r="D956">
        <v>0.36055006446067894</v>
      </c>
    </row>
    <row r="957" spans="1:4" x14ac:dyDescent="0.2">
      <c r="A957">
        <v>2016</v>
      </c>
      <c r="B957">
        <v>325</v>
      </c>
      <c r="C957" t="s">
        <v>25</v>
      </c>
      <c r="D957" t="s">
        <v>25</v>
      </c>
    </row>
    <row r="958" spans="1:4" x14ac:dyDescent="0.2">
      <c r="A958">
        <v>2015</v>
      </c>
      <c r="B958">
        <v>325</v>
      </c>
      <c r="C958" t="s">
        <v>25</v>
      </c>
      <c r="D958" t="s">
        <v>25</v>
      </c>
    </row>
    <row r="959" spans="1:4" x14ac:dyDescent="0.2">
      <c r="A959">
        <v>2014</v>
      </c>
      <c r="B959">
        <v>325</v>
      </c>
      <c r="C959" t="s">
        <v>25</v>
      </c>
      <c r="D959" t="s">
        <v>25</v>
      </c>
    </row>
    <row r="960" spans="1:4" x14ac:dyDescent="0.2">
      <c r="A960">
        <v>2013</v>
      </c>
      <c r="B960">
        <v>325</v>
      </c>
      <c r="C960" t="s">
        <v>25</v>
      </c>
      <c r="D960" t="s">
        <v>25</v>
      </c>
    </row>
    <row r="961" spans="1:4" x14ac:dyDescent="0.2">
      <c r="A961">
        <v>2012</v>
      </c>
      <c r="B961">
        <v>325</v>
      </c>
      <c r="C961" t="s">
        <v>25</v>
      </c>
      <c r="D961" t="s">
        <v>25</v>
      </c>
    </row>
    <row r="962" spans="1:4" x14ac:dyDescent="0.2">
      <c r="A962">
        <v>2011</v>
      </c>
      <c r="B962">
        <v>325</v>
      </c>
      <c r="C962" t="s">
        <v>25</v>
      </c>
      <c r="D962" t="s">
        <v>25</v>
      </c>
    </row>
    <row r="963" spans="1:4" x14ac:dyDescent="0.2">
      <c r="A963">
        <v>2010</v>
      </c>
      <c r="B963">
        <v>325</v>
      </c>
      <c r="C963" t="s">
        <v>25</v>
      </c>
      <c r="D963" t="s">
        <v>25</v>
      </c>
    </row>
    <row r="964" spans="1:4" x14ac:dyDescent="0.2">
      <c r="A964">
        <v>2009</v>
      </c>
      <c r="B964">
        <v>325</v>
      </c>
      <c r="C964" t="s">
        <v>25</v>
      </c>
      <c r="D964" t="s">
        <v>25</v>
      </c>
    </row>
    <row r="965" spans="1:4" x14ac:dyDescent="0.2">
      <c r="A965">
        <v>2008</v>
      </c>
      <c r="B965">
        <v>325</v>
      </c>
      <c r="C965" t="s">
        <v>25</v>
      </c>
      <c r="D965" t="s">
        <v>25</v>
      </c>
    </row>
    <row r="966" spans="1:4" x14ac:dyDescent="0.2">
      <c r="A966">
        <v>2007</v>
      </c>
      <c r="B966">
        <v>325</v>
      </c>
      <c r="C966" t="s">
        <v>25</v>
      </c>
      <c r="D966" t="s">
        <v>25</v>
      </c>
    </row>
    <row r="967" spans="1:4" x14ac:dyDescent="0.2">
      <c r="A967">
        <v>2006</v>
      </c>
      <c r="B967">
        <v>325</v>
      </c>
      <c r="C967" t="s">
        <v>25</v>
      </c>
      <c r="D967" t="s">
        <v>25</v>
      </c>
    </row>
    <row r="968" spans="1:4" x14ac:dyDescent="0.2">
      <c r="A968">
        <v>2005</v>
      </c>
      <c r="B968">
        <v>325</v>
      </c>
      <c r="C968" t="s">
        <v>25</v>
      </c>
      <c r="D968" t="s">
        <v>25</v>
      </c>
    </row>
    <row r="969" spans="1:4" x14ac:dyDescent="0.2">
      <c r="A969">
        <v>2004</v>
      </c>
      <c r="B969">
        <v>325</v>
      </c>
      <c r="C969" t="s">
        <v>25</v>
      </c>
      <c r="D969" t="s">
        <v>25</v>
      </c>
    </row>
    <row r="970" spans="1:4" x14ac:dyDescent="0.2">
      <c r="A970">
        <v>2003</v>
      </c>
      <c r="B970">
        <v>325</v>
      </c>
      <c r="C970" t="s">
        <v>25</v>
      </c>
      <c r="D970" t="s">
        <v>25</v>
      </c>
    </row>
    <row r="971" spans="1:4" x14ac:dyDescent="0.2">
      <c r="A971">
        <v>2002</v>
      </c>
      <c r="B971">
        <v>325</v>
      </c>
      <c r="C971" t="s">
        <v>25</v>
      </c>
      <c r="D971" t="s">
        <v>25</v>
      </c>
    </row>
    <row r="972" spans="1:4" x14ac:dyDescent="0.2">
      <c r="A972">
        <v>2001</v>
      </c>
      <c r="B972">
        <v>325</v>
      </c>
      <c r="C972" t="s">
        <v>25</v>
      </c>
      <c r="D972" t="s">
        <v>25</v>
      </c>
    </row>
    <row r="973" spans="1:4" x14ac:dyDescent="0.2">
      <c r="A973">
        <v>2000</v>
      </c>
      <c r="B973">
        <v>325</v>
      </c>
      <c r="C973" t="s">
        <v>25</v>
      </c>
      <c r="D973" t="s">
        <v>25</v>
      </c>
    </row>
    <row r="974" spans="1:4" x14ac:dyDescent="0.2">
      <c r="A974">
        <v>1999</v>
      </c>
      <c r="B974">
        <v>325</v>
      </c>
      <c r="C974" t="s">
        <v>25</v>
      </c>
      <c r="D974" t="s">
        <v>25</v>
      </c>
    </row>
    <row r="975" spans="1:4" x14ac:dyDescent="0.2">
      <c r="A975">
        <v>1998</v>
      </c>
      <c r="B975">
        <v>325</v>
      </c>
      <c r="C975" t="s">
        <v>25</v>
      </c>
      <c r="D975" t="s">
        <v>25</v>
      </c>
    </row>
    <row r="976" spans="1:4" x14ac:dyDescent="0.2">
      <c r="A976">
        <v>1997</v>
      </c>
      <c r="B976">
        <v>325</v>
      </c>
      <c r="C976" t="s">
        <v>25</v>
      </c>
      <c r="D976" t="s">
        <v>25</v>
      </c>
    </row>
    <row r="977" spans="1:4" x14ac:dyDescent="0.2">
      <c r="A977">
        <v>2021</v>
      </c>
      <c r="B977">
        <v>326</v>
      </c>
      <c r="C977" t="s">
        <v>25</v>
      </c>
      <c r="D977" t="s">
        <v>25</v>
      </c>
    </row>
    <row r="978" spans="1:4" x14ac:dyDescent="0.2">
      <c r="A978">
        <v>2020</v>
      </c>
      <c r="B978">
        <v>326</v>
      </c>
      <c r="C978" t="s">
        <v>25</v>
      </c>
      <c r="D978" t="s">
        <v>25</v>
      </c>
    </row>
    <row r="979" spans="1:4" x14ac:dyDescent="0.2">
      <c r="A979">
        <v>2019</v>
      </c>
      <c r="B979">
        <v>326</v>
      </c>
      <c r="C979" t="s">
        <v>25</v>
      </c>
      <c r="D979" t="s">
        <v>25</v>
      </c>
    </row>
    <row r="980" spans="1:4" x14ac:dyDescent="0.2">
      <c r="A980">
        <v>2018</v>
      </c>
      <c r="B980">
        <v>326</v>
      </c>
      <c r="C980" t="s">
        <v>25</v>
      </c>
      <c r="D980" t="s">
        <v>25</v>
      </c>
    </row>
    <row r="981" spans="1:4" x14ac:dyDescent="0.2">
      <c r="A981">
        <v>2017</v>
      </c>
      <c r="B981">
        <v>326</v>
      </c>
      <c r="C981" t="s">
        <v>25</v>
      </c>
      <c r="D981" t="s">
        <v>25</v>
      </c>
    </row>
    <row r="982" spans="1:4" x14ac:dyDescent="0.2">
      <c r="A982">
        <v>2016</v>
      </c>
      <c r="B982">
        <v>326</v>
      </c>
      <c r="C982" t="s">
        <v>25</v>
      </c>
      <c r="D982" t="s">
        <v>25</v>
      </c>
    </row>
    <row r="983" spans="1:4" x14ac:dyDescent="0.2">
      <c r="A983">
        <v>2015</v>
      </c>
      <c r="B983">
        <v>326</v>
      </c>
      <c r="C983" t="s">
        <v>25</v>
      </c>
      <c r="D983" t="s">
        <v>25</v>
      </c>
    </row>
    <row r="984" spans="1:4" x14ac:dyDescent="0.2">
      <c r="A984">
        <v>2014</v>
      </c>
      <c r="B984">
        <v>326</v>
      </c>
      <c r="C984" t="s">
        <v>25</v>
      </c>
      <c r="D984" t="s">
        <v>25</v>
      </c>
    </row>
    <row r="985" spans="1:4" x14ac:dyDescent="0.2">
      <c r="A985">
        <v>2013</v>
      </c>
      <c r="B985">
        <v>326</v>
      </c>
      <c r="C985" t="s">
        <v>25</v>
      </c>
      <c r="D985" t="s">
        <v>25</v>
      </c>
    </row>
    <row r="986" spans="1:4" x14ac:dyDescent="0.2">
      <c r="A986">
        <v>2012</v>
      </c>
      <c r="B986">
        <v>326</v>
      </c>
      <c r="C986" t="s">
        <v>25</v>
      </c>
      <c r="D986" t="s">
        <v>25</v>
      </c>
    </row>
    <row r="987" spans="1:4" x14ac:dyDescent="0.2">
      <c r="A987">
        <v>2011</v>
      </c>
      <c r="B987">
        <v>326</v>
      </c>
      <c r="C987" t="s">
        <v>25</v>
      </c>
      <c r="D987" t="s">
        <v>25</v>
      </c>
    </row>
    <row r="988" spans="1:4" x14ac:dyDescent="0.2">
      <c r="A988">
        <v>2010</v>
      </c>
      <c r="B988">
        <v>326</v>
      </c>
      <c r="C988" t="s">
        <v>25</v>
      </c>
      <c r="D988" t="s">
        <v>25</v>
      </c>
    </row>
    <row r="989" spans="1:4" x14ac:dyDescent="0.2">
      <c r="A989">
        <v>2009</v>
      </c>
      <c r="B989">
        <v>326</v>
      </c>
      <c r="C989" t="s">
        <v>25</v>
      </c>
      <c r="D989" t="s">
        <v>25</v>
      </c>
    </row>
    <row r="990" spans="1:4" x14ac:dyDescent="0.2">
      <c r="A990">
        <v>2008</v>
      </c>
      <c r="B990">
        <v>326</v>
      </c>
      <c r="C990" t="s">
        <v>25</v>
      </c>
      <c r="D990" t="s">
        <v>25</v>
      </c>
    </row>
    <row r="991" spans="1:4" x14ac:dyDescent="0.2">
      <c r="A991">
        <v>2007</v>
      </c>
      <c r="B991">
        <v>326</v>
      </c>
      <c r="C991" t="s">
        <v>25</v>
      </c>
      <c r="D991" t="s">
        <v>25</v>
      </c>
    </row>
    <row r="992" spans="1:4" x14ac:dyDescent="0.2">
      <c r="A992">
        <v>2006</v>
      </c>
      <c r="B992">
        <v>326</v>
      </c>
      <c r="C992" t="s">
        <v>25</v>
      </c>
      <c r="D992" t="s">
        <v>25</v>
      </c>
    </row>
    <row r="993" spans="1:4" x14ac:dyDescent="0.2">
      <c r="A993">
        <v>2005</v>
      </c>
      <c r="B993">
        <v>326</v>
      </c>
      <c r="C993" t="s">
        <v>25</v>
      </c>
      <c r="D993" t="s">
        <v>25</v>
      </c>
    </row>
    <row r="994" spans="1:4" x14ac:dyDescent="0.2">
      <c r="A994">
        <v>2004</v>
      </c>
      <c r="B994">
        <v>326</v>
      </c>
      <c r="C994" t="s">
        <v>25</v>
      </c>
      <c r="D994" t="s">
        <v>25</v>
      </c>
    </row>
    <row r="995" spans="1:4" x14ac:dyDescent="0.2">
      <c r="A995">
        <v>2003</v>
      </c>
      <c r="B995">
        <v>326</v>
      </c>
      <c r="C995" t="s">
        <v>25</v>
      </c>
      <c r="D995" t="s">
        <v>25</v>
      </c>
    </row>
    <row r="996" spans="1:4" x14ac:dyDescent="0.2">
      <c r="A996">
        <v>2002</v>
      </c>
      <c r="B996">
        <v>326</v>
      </c>
      <c r="C996" t="s">
        <v>25</v>
      </c>
      <c r="D996" t="s">
        <v>25</v>
      </c>
    </row>
    <row r="997" spans="1:4" x14ac:dyDescent="0.2">
      <c r="A997">
        <v>2001</v>
      </c>
      <c r="B997">
        <v>326</v>
      </c>
      <c r="C997" t="s">
        <v>25</v>
      </c>
      <c r="D997" t="s">
        <v>25</v>
      </c>
    </row>
    <row r="998" spans="1:4" x14ac:dyDescent="0.2">
      <c r="A998">
        <v>2000</v>
      </c>
      <c r="B998">
        <v>326</v>
      </c>
      <c r="C998" t="s">
        <v>25</v>
      </c>
      <c r="D998" t="s">
        <v>25</v>
      </c>
    </row>
    <row r="999" spans="1:4" x14ac:dyDescent="0.2">
      <c r="A999">
        <v>1999</v>
      </c>
      <c r="B999">
        <v>326</v>
      </c>
      <c r="C999" t="s">
        <v>25</v>
      </c>
      <c r="D999" t="s">
        <v>25</v>
      </c>
    </row>
    <row r="1000" spans="1:4" x14ac:dyDescent="0.2">
      <c r="A1000">
        <v>1998</v>
      </c>
      <c r="B1000">
        <v>326</v>
      </c>
      <c r="C1000" t="s">
        <v>25</v>
      </c>
      <c r="D1000" t="s">
        <v>25</v>
      </c>
    </row>
    <row r="1001" spans="1:4" x14ac:dyDescent="0.2">
      <c r="A1001">
        <v>1997</v>
      </c>
      <c r="B1001">
        <v>326</v>
      </c>
      <c r="C1001" t="s">
        <v>25</v>
      </c>
      <c r="D1001" t="s">
        <v>25</v>
      </c>
    </row>
    <row r="1002" spans="1:4" x14ac:dyDescent="0.2">
      <c r="A1002">
        <v>2021</v>
      </c>
      <c r="B1002">
        <v>327</v>
      </c>
      <c r="C1002">
        <v>0.22130740997916876</v>
      </c>
      <c r="D1002">
        <v>0.77869259002083124</v>
      </c>
    </row>
    <row r="1003" spans="1:4" x14ac:dyDescent="0.2">
      <c r="A1003">
        <v>2020</v>
      </c>
      <c r="B1003">
        <v>327</v>
      </c>
      <c r="C1003">
        <v>0.3405442443226312</v>
      </c>
      <c r="D1003">
        <v>0.6594557556773688</v>
      </c>
    </row>
    <row r="1004" spans="1:4" x14ac:dyDescent="0.2">
      <c r="A1004">
        <v>2019</v>
      </c>
      <c r="B1004">
        <v>327</v>
      </c>
      <c r="C1004">
        <v>0.25168133604152559</v>
      </c>
      <c r="D1004">
        <v>0.74831866395847446</v>
      </c>
    </row>
    <row r="1005" spans="1:4" x14ac:dyDescent="0.2">
      <c r="A1005">
        <v>2018</v>
      </c>
      <c r="B1005">
        <v>327</v>
      </c>
      <c r="C1005">
        <v>0.406447479691464</v>
      </c>
      <c r="D1005">
        <v>0.593552520308536</v>
      </c>
    </row>
    <row r="1006" spans="1:4" x14ac:dyDescent="0.2">
      <c r="A1006">
        <v>2017</v>
      </c>
      <c r="B1006">
        <v>327</v>
      </c>
      <c r="C1006">
        <v>0.22218309859154933</v>
      </c>
      <c r="D1006">
        <v>0.77781690140845061</v>
      </c>
    </row>
    <row r="1007" spans="1:4" x14ac:dyDescent="0.2">
      <c r="A1007">
        <v>2016</v>
      </c>
      <c r="B1007">
        <v>327</v>
      </c>
      <c r="C1007">
        <v>0.23051649255405196</v>
      </c>
      <c r="D1007">
        <v>0.76948350744594807</v>
      </c>
    </row>
    <row r="1008" spans="1:4" x14ac:dyDescent="0.2">
      <c r="A1008">
        <v>2015</v>
      </c>
      <c r="B1008">
        <v>327</v>
      </c>
      <c r="C1008">
        <v>0.28310517871163765</v>
      </c>
      <c r="D1008">
        <v>0.71689482128836235</v>
      </c>
    </row>
    <row r="1009" spans="1:4" x14ac:dyDescent="0.2">
      <c r="A1009">
        <v>2014</v>
      </c>
      <c r="B1009">
        <v>327</v>
      </c>
      <c r="C1009">
        <v>0.36283502084574148</v>
      </c>
      <c r="D1009">
        <v>0.63716497915425852</v>
      </c>
    </row>
    <row r="1010" spans="1:4" x14ac:dyDescent="0.2">
      <c r="A1010">
        <v>2013</v>
      </c>
      <c r="B1010">
        <v>327</v>
      </c>
      <c r="C1010">
        <v>0.31881859552065672</v>
      </c>
      <c r="D1010">
        <v>0.68118140447934328</v>
      </c>
    </row>
    <row r="1011" spans="1:4" x14ac:dyDescent="0.2">
      <c r="A1011">
        <v>2012</v>
      </c>
      <c r="B1011">
        <v>327</v>
      </c>
      <c r="C1011">
        <v>0.40180106683401318</v>
      </c>
      <c r="D1011">
        <v>0.59819893316598682</v>
      </c>
    </row>
    <row r="1012" spans="1:4" x14ac:dyDescent="0.2">
      <c r="A1012">
        <v>2011</v>
      </c>
      <c r="B1012">
        <v>327</v>
      </c>
      <c r="C1012">
        <v>0.315721756453889</v>
      </c>
      <c r="D1012">
        <v>0.684278243546111</v>
      </c>
    </row>
    <row r="1013" spans="1:4" x14ac:dyDescent="0.2">
      <c r="A1013">
        <v>2010</v>
      </c>
      <c r="B1013">
        <v>327</v>
      </c>
      <c r="C1013">
        <v>0.37108415466262323</v>
      </c>
      <c r="D1013">
        <v>0.62891584533737677</v>
      </c>
    </row>
    <row r="1014" spans="1:4" x14ac:dyDescent="0.2">
      <c r="A1014">
        <v>2009</v>
      </c>
      <c r="B1014">
        <v>327</v>
      </c>
      <c r="C1014">
        <v>0.31912986801368748</v>
      </c>
      <c r="D1014">
        <v>0.68087013198631252</v>
      </c>
    </row>
    <row r="1015" spans="1:4" x14ac:dyDescent="0.2">
      <c r="A1015">
        <v>2008</v>
      </c>
      <c r="B1015">
        <v>327</v>
      </c>
      <c r="C1015">
        <v>0.50287596048298577</v>
      </c>
      <c r="D1015">
        <v>0.49712403951701423</v>
      </c>
    </row>
    <row r="1016" spans="1:4" x14ac:dyDescent="0.2">
      <c r="A1016">
        <v>2007</v>
      </c>
      <c r="B1016">
        <v>327</v>
      </c>
      <c r="C1016">
        <v>0.37464788732394366</v>
      </c>
      <c r="D1016">
        <v>0.62535211267605639</v>
      </c>
    </row>
    <row r="1017" spans="1:4" x14ac:dyDescent="0.2">
      <c r="A1017">
        <v>2006</v>
      </c>
      <c r="B1017">
        <v>327</v>
      </c>
      <c r="C1017">
        <v>0.52617419403321564</v>
      </c>
      <c r="D1017">
        <v>0.47382580596678436</v>
      </c>
    </row>
    <row r="1018" spans="1:4" x14ac:dyDescent="0.2">
      <c r="A1018">
        <v>2005</v>
      </c>
      <c r="B1018">
        <v>327</v>
      </c>
      <c r="C1018">
        <v>0.4261953412341643</v>
      </c>
      <c r="D1018">
        <v>0.57380465876583564</v>
      </c>
    </row>
    <row r="1019" spans="1:4" x14ac:dyDescent="0.2">
      <c r="A1019">
        <v>2004</v>
      </c>
      <c r="B1019">
        <v>327</v>
      </c>
      <c r="C1019">
        <v>0.43046779328924811</v>
      </c>
      <c r="D1019">
        <v>0.56953220671075189</v>
      </c>
    </row>
    <row r="1020" spans="1:4" x14ac:dyDescent="0.2">
      <c r="A1020">
        <v>2003</v>
      </c>
      <c r="B1020">
        <v>327</v>
      </c>
      <c r="C1020">
        <v>0.42782776349614399</v>
      </c>
      <c r="D1020">
        <v>0.57217223650385596</v>
      </c>
    </row>
    <row r="1021" spans="1:4" x14ac:dyDescent="0.2">
      <c r="A1021">
        <v>2002</v>
      </c>
      <c r="B1021">
        <v>327</v>
      </c>
      <c r="C1021">
        <v>0.55747402078337327</v>
      </c>
      <c r="D1021">
        <v>0.44252597921662673</v>
      </c>
    </row>
    <row r="1022" spans="1:4" x14ac:dyDescent="0.2">
      <c r="A1022">
        <v>2001</v>
      </c>
      <c r="B1022">
        <v>327</v>
      </c>
      <c r="C1022">
        <v>0.38788774002954207</v>
      </c>
      <c r="D1022">
        <v>0.61211225997045793</v>
      </c>
    </row>
    <row r="1023" spans="1:4" x14ac:dyDescent="0.2">
      <c r="A1023">
        <v>2000</v>
      </c>
      <c r="B1023">
        <v>327</v>
      </c>
      <c r="C1023">
        <v>0.3758104738154614</v>
      </c>
      <c r="D1023">
        <v>0.6241895261845386</v>
      </c>
    </row>
    <row r="1024" spans="1:4" x14ac:dyDescent="0.2">
      <c r="A1024">
        <v>1999</v>
      </c>
      <c r="B1024">
        <v>327</v>
      </c>
      <c r="C1024">
        <v>0.43305567733450245</v>
      </c>
      <c r="D1024">
        <v>0.56694432266549755</v>
      </c>
    </row>
    <row r="1025" spans="1:4" x14ac:dyDescent="0.2">
      <c r="A1025">
        <v>1998</v>
      </c>
      <c r="B1025">
        <v>327</v>
      </c>
      <c r="C1025">
        <v>0.3139452332657201</v>
      </c>
      <c r="D1025">
        <v>0.6860547667342799</v>
      </c>
    </row>
    <row r="1026" spans="1:4" x14ac:dyDescent="0.2">
      <c r="A1026">
        <v>1997</v>
      </c>
      <c r="B1026">
        <v>327</v>
      </c>
      <c r="C1026">
        <v>0.34830091110563899</v>
      </c>
      <c r="D1026">
        <v>0.65169908889436101</v>
      </c>
    </row>
    <row r="1027" spans="1:4" x14ac:dyDescent="0.2">
      <c r="A1027">
        <v>2021</v>
      </c>
      <c r="B1027">
        <v>328</v>
      </c>
      <c r="C1027">
        <v>0.75543454585057734</v>
      </c>
      <c r="D1027">
        <v>0.24456545414942266</v>
      </c>
    </row>
    <row r="1028" spans="1:4" x14ac:dyDescent="0.2">
      <c r="A1028">
        <v>2020</v>
      </c>
      <c r="B1028">
        <v>328</v>
      </c>
      <c r="C1028">
        <v>0.73183619550858658</v>
      </c>
      <c r="D1028">
        <v>0.26816380449141342</v>
      </c>
    </row>
    <row r="1029" spans="1:4" x14ac:dyDescent="0.2">
      <c r="A1029">
        <v>2019</v>
      </c>
      <c r="B1029">
        <v>328</v>
      </c>
      <c r="C1029">
        <v>0.63198634035287427</v>
      </c>
      <c r="D1029">
        <v>0.36801365964712573</v>
      </c>
    </row>
    <row r="1030" spans="1:4" x14ac:dyDescent="0.2">
      <c r="A1030">
        <v>2018</v>
      </c>
      <c r="B1030">
        <v>328</v>
      </c>
      <c r="C1030">
        <v>0.72633928571428574</v>
      </c>
      <c r="D1030">
        <v>0.27366071428571426</v>
      </c>
    </row>
    <row r="1031" spans="1:4" x14ac:dyDescent="0.2">
      <c r="A1031">
        <v>2017</v>
      </c>
      <c r="B1031">
        <v>328</v>
      </c>
      <c r="C1031">
        <v>0.35371444352388848</v>
      </c>
      <c r="D1031">
        <v>0.64628555647611152</v>
      </c>
    </row>
    <row r="1032" spans="1:4" x14ac:dyDescent="0.2">
      <c r="A1032">
        <v>2016</v>
      </c>
      <c r="B1032">
        <v>328</v>
      </c>
      <c r="C1032">
        <v>0.25119215751433083</v>
      </c>
      <c r="D1032">
        <v>0.74880784248566923</v>
      </c>
    </row>
    <row r="1033" spans="1:4" x14ac:dyDescent="0.2">
      <c r="A1033">
        <v>2015</v>
      </c>
      <c r="B1033">
        <v>328</v>
      </c>
      <c r="C1033" t="s">
        <v>25</v>
      </c>
      <c r="D1033" t="s">
        <v>25</v>
      </c>
    </row>
    <row r="1034" spans="1:4" x14ac:dyDescent="0.2">
      <c r="A1034">
        <v>2014</v>
      </c>
      <c r="B1034">
        <v>328</v>
      </c>
      <c r="C1034" t="s">
        <v>25</v>
      </c>
      <c r="D1034" t="s">
        <v>25</v>
      </c>
    </row>
    <row r="1035" spans="1:4" x14ac:dyDescent="0.2">
      <c r="A1035">
        <v>2013</v>
      </c>
      <c r="B1035">
        <v>328</v>
      </c>
      <c r="C1035">
        <v>0.37250392054364873</v>
      </c>
      <c r="D1035">
        <v>0.62749607945635133</v>
      </c>
    </row>
    <row r="1036" spans="1:4" x14ac:dyDescent="0.2">
      <c r="A1036">
        <v>2012</v>
      </c>
      <c r="B1036">
        <v>328</v>
      </c>
      <c r="C1036" t="s">
        <v>25</v>
      </c>
      <c r="D1036" t="s">
        <v>25</v>
      </c>
    </row>
    <row r="1037" spans="1:4" x14ac:dyDescent="0.2">
      <c r="A1037">
        <v>2011</v>
      </c>
      <c r="B1037">
        <v>328</v>
      </c>
      <c r="C1037">
        <v>0.40879326473339572</v>
      </c>
      <c r="D1037">
        <v>0.59120673526660428</v>
      </c>
    </row>
    <row r="1038" spans="1:4" x14ac:dyDescent="0.2">
      <c r="A1038">
        <v>2010</v>
      </c>
      <c r="B1038">
        <v>328</v>
      </c>
      <c r="C1038">
        <v>0.41094206505507824</v>
      </c>
      <c r="D1038">
        <v>0.58905793494492176</v>
      </c>
    </row>
    <row r="1039" spans="1:4" x14ac:dyDescent="0.2">
      <c r="A1039">
        <v>2009</v>
      </c>
      <c r="B1039">
        <v>328</v>
      </c>
      <c r="C1039">
        <v>0.26672288394645305</v>
      </c>
      <c r="D1039">
        <v>0.73327711605354695</v>
      </c>
    </row>
    <row r="1040" spans="1:4" x14ac:dyDescent="0.2">
      <c r="A1040">
        <v>2008</v>
      </c>
      <c r="B1040">
        <v>328</v>
      </c>
      <c r="C1040">
        <v>0.51983930778739185</v>
      </c>
      <c r="D1040">
        <v>0.48016069221260815</v>
      </c>
    </row>
    <row r="1041" spans="1:4" x14ac:dyDescent="0.2">
      <c r="A1041">
        <v>2007</v>
      </c>
      <c r="B1041">
        <v>328</v>
      </c>
      <c r="C1041" t="s">
        <v>25</v>
      </c>
      <c r="D1041" t="s">
        <v>25</v>
      </c>
    </row>
    <row r="1042" spans="1:4" x14ac:dyDescent="0.2">
      <c r="A1042">
        <v>2006</v>
      </c>
      <c r="B1042">
        <v>328</v>
      </c>
      <c r="C1042" t="s">
        <v>25</v>
      </c>
      <c r="D1042" t="s">
        <v>25</v>
      </c>
    </row>
    <row r="1043" spans="1:4" x14ac:dyDescent="0.2">
      <c r="A1043">
        <v>2005</v>
      </c>
      <c r="B1043">
        <v>328</v>
      </c>
      <c r="C1043">
        <v>0.59516616314199389</v>
      </c>
      <c r="D1043">
        <v>0.40483383685800611</v>
      </c>
    </row>
    <row r="1044" spans="1:4" x14ac:dyDescent="0.2">
      <c r="A1044">
        <v>2004</v>
      </c>
      <c r="B1044">
        <v>328</v>
      </c>
      <c r="C1044" t="s">
        <v>25</v>
      </c>
      <c r="D1044" t="s">
        <v>25</v>
      </c>
    </row>
    <row r="1045" spans="1:4" x14ac:dyDescent="0.2">
      <c r="A1045">
        <v>2003</v>
      </c>
      <c r="B1045">
        <v>328</v>
      </c>
      <c r="C1045" t="s">
        <v>25</v>
      </c>
      <c r="D1045" t="s">
        <v>25</v>
      </c>
    </row>
    <row r="1046" spans="1:4" x14ac:dyDescent="0.2">
      <c r="A1046">
        <v>2002</v>
      </c>
      <c r="B1046">
        <v>328</v>
      </c>
      <c r="C1046">
        <v>0.7643243243243244</v>
      </c>
      <c r="D1046">
        <v>0.2356756756756756</v>
      </c>
    </row>
    <row r="1047" spans="1:4" x14ac:dyDescent="0.2">
      <c r="A1047">
        <v>2001</v>
      </c>
      <c r="B1047">
        <v>328</v>
      </c>
      <c r="C1047" t="s">
        <v>25</v>
      </c>
      <c r="D1047" t="s">
        <v>25</v>
      </c>
    </row>
    <row r="1048" spans="1:4" x14ac:dyDescent="0.2">
      <c r="A1048">
        <v>2000</v>
      </c>
      <c r="B1048">
        <v>328</v>
      </c>
      <c r="C1048">
        <v>0.27258900795022467</v>
      </c>
      <c r="D1048">
        <v>0.72741099204977533</v>
      </c>
    </row>
    <row r="1049" spans="1:4" x14ac:dyDescent="0.2">
      <c r="A1049">
        <v>1999</v>
      </c>
      <c r="B1049">
        <v>328</v>
      </c>
      <c r="C1049" t="s">
        <v>25</v>
      </c>
      <c r="D1049" t="s">
        <v>25</v>
      </c>
    </row>
    <row r="1050" spans="1:4" x14ac:dyDescent="0.2">
      <c r="A1050">
        <v>1998</v>
      </c>
      <c r="B1050">
        <v>328</v>
      </c>
      <c r="C1050">
        <v>0.67081339712918664</v>
      </c>
      <c r="D1050">
        <v>0.32918660287081336</v>
      </c>
    </row>
    <row r="1051" spans="1:4" x14ac:dyDescent="0.2">
      <c r="A1051">
        <v>1997</v>
      </c>
      <c r="B1051">
        <v>328</v>
      </c>
      <c r="C1051">
        <v>0.43157894736842106</v>
      </c>
      <c r="D1051">
        <v>0.56842105263157894</v>
      </c>
    </row>
    <row r="1052" spans="1:4" x14ac:dyDescent="0.2">
      <c r="A1052">
        <v>2021</v>
      </c>
      <c r="B1052">
        <v>331</v>
      </c>
      <c r="C1052">
        <v>0.26260684747955459</v>
      </c>
      <c r="D1052">
        <v>0.73739315252044535</v>
      </c>
    </row>
    <row r="1053" spans="1:4" x14ac:dyDescent="0.2">
      <c r="A1053">
        <v>2020</v>
      </c>
      <c r="B1053">
        <v>331</v>
      </c>
      <c r="C1053">
        <v>0.32956116230677768</v>
      </c>
      <c r="D1053">
        <v>0.67043883769322232</v>
      </c>
    </row>
    <row r="1054" spans="1:4" x14ac:dyDescent="0.2">
      <c r="A1054">
        <v>2019</v>
      </c>
      <c r="B1054">
        <v>331</v>
      </c>
      <c r="C1054">
        <v>0.26093464010665635</v>
      </c>
      <c r="D1054">
        <v>0.73906535989334365</v>
      </c>
    </row>
    <row r="1055" spans="1:4" x14ac:dyDescent="0.2">
      <c r="A1055">
        <v>2018</v>
      </c>
      <c r="B1055">
        <v>331</v>
      </c>
      <c r="C1055">
        <v>0.26895809739524346</v>
      </c>
      <c r="D1055">
        <v>0.73104190260475654</v>
      </c>
    </row>
    <row r="1056" spans="1:4" x14ac:dyDescent="0.2">
      <c r="A1056">
        <v>2017</v>
      </c>
      <c r="B1056">
        <v>331</v>
      </c>
      <c r="C1056">
        <v>0.25177967198137985</v>
      </c>
      <c r="D1056">
        <v>0.74822032801862015</v>
      </c>
    </row>
    <row r="1057" spans="1:4" x14ac:dyDescent="0.2">
      <c r="A1057">
        <v>2016</v>
      </c>
      <c r="B1057">
        <v>331</v>
      </c>
      <c r="C1057">
        <v>0.26128503693993788</v>
      </c>
      <c r="D1057">
        <v>0.73871496306006212</v>
      </c>
    </row>
    <row r="1058" spans="1:4" x14ac:dyDescent="0.2">
      <c r="A1058">
        <v>2015</v>
      </c>
      <c r="B1058">
        <v>331</v>
      </c>
      <c r="C1058">
        <v>0.26261056239523878</v>
      </c>
      <c r="D1058">
        <v>0.73738943760476117</v>
      </c>
    </row>
    <row r="1059" spans="1:4" x14ac:dyDescent="0.2">
      <c r="A1059">
        <v>2014</v>
      </c>
      <c r="B1059">
        <v>331</v>
      </c>
      <c r="C1059">
        <v>0.26991523017336361</v>
      </c>
      <c r="D1059">
        <v>0.73008476982663639</v>
      </c>
    </row>
    <row r="1060" spans="1:4" x14ac:dyDescent="0.2">
      <c r="A1060">
        <v>2013</v>
      </c>
      <c r="B1060">
        <v>331</v>
      </c>
      <c r="C1060">
        <v>0.24165958140744992</v>
      </c>
      <c r="D1060">
        <v>0.75834041859255008</v>
      </c>
    </row>
    <row r="1061" spans="1:4" x14ac:dyDescent="0.2">
      <c r="A1061">
        <v>2012</v>
      </c>
      <c r="B1061">
        <v>331</v>
      </c>
      <c r="C1061">
        <v>0.25337613809008025</v>
      </c>
      <c r="D1061">
        <v>0.74662386190991969</v>
      </c>
    </row>
    <row r="1062" spans="1:4" x14ac:dyDescent="0.2">
      <c r="A1062">
        <v>2011</v>
      </c>
      <c r="B1062">
        <v>331</v>
      </c>
      <c r="C1062">
        <v>0.25788711087599242</v>
      </c>
      <c r="D1062">
        <v>0.74211288912400764</v>
      </c>
    </row>
    <row r="1063" spans="1:4" x14ac:dyDescent="0.2">
      <c r="A1063">
        <v>2010</v>
      </c>
      <c r="B1063">
        <v>331</v>
      </c>
      <c r="C1063">
        <v>0.27860649772938717</v>
      </c>
      <c r="D1063">
        <v>0.72139350227061283</v>
      </c>
    </row>
    <row r="1064" spans="1:4" x14ac:dyDescent="0.2">
      <c r="A1064">
        <v>2009</v>
      </c>
      <c r="B1064">
        <v>331</v>
      </c>
      <c r="C1064">
        <v>0.25725558900822248</v>
      </c>
      <c r="D1064">
        <v>0.74274441099177757</v>
      </c>
    </row>
    <row r="1065" spans="1:4" x14ac:dyDescent="0.2">
      <c r="A1065">
        <v>2008</v>
      </c>
      <c r="B1065">
        <v>331</v>
      </c>
      <c r="C1065">
        <v>0.2499822424634926</v>
      </c>
      <c r="D1065">
        <v>0.75001775753650746</v>
      </c>
    </row>
    <row r="1066" spans="1:4" x14ac:dyDescent="0.2">
      <c r="A1066">
        <v>2007</v>
      </c>
      <c r="B1066">
        <v>331</v>
      </c>
      <c r="C1066">
        <v>0.24367494653725946</v>
      </c>
      <c r="D1066">
        <v>0.75632505346274059</v>
      </c>
    </row>
    <row r="1067" spans="1:4" x14ac:dyDescent="0.2">
      <c r="A1067">
        <v>2006</v>
      </c>
      <c r="B1067">
        <v>331</v>
      </c>
      <c r="C1067">
        <v>0.22670175162035494</v>
      </c>
      <c r="D1067">
        <v>0.77329824837964511</v>
      </c>
    </row>
    <row r="1068" spans="1:4" x14ac:dyDescent="0.2">
      <c r="A1068">
        <v>2005</v>
      </c>
      <c r="B1068">
        <v>331</v>
      </c>
      <c r="C1068">
        <v>0.21968166089965399</v>
      </c>
      <c r="D1068">
        <v>0.78031833910034598</v>
      </c>
    </row>
    <row r="1069" spans="1:4" x14ac:dyDescent="0.2">
      <c r="A1069">
        <v>2004</v>
      </c>
      <c r="B1069">
        <v>331</v>
      </c>
      <c r="C1069">
        <v>0.26846415841584159</v>
      </c>
      <c r="D1069">
        <v>0.73153584158415841</v>
      </c>
    </row>
    <row r="1070" spans="1:4" x14ac:dyDescent="0.2">
      <c r="A1070">
        <v>2003</v>
      </c>
      <c r="B1070">
        <v>331</v>
      </c>
      <c r="C1070">
        <v>0.24639707086540488</v>
      </c>
      <c r="D1070">
        <v>0.75360292913459515</v>
      </c>
    </row>
    <row r="1071" spans="1:4" x14ac:dyDescent="0.2">
      <c r="A1071">
        <v>2002</v>
      </c>
      <c r="B1071">
        <v>331</v>
      </c>
      <c r="C1071">
        <v>0.23208949989478853</v>
      </c>
      <c r="D1071">
        <v>0.76791050010521145</v>
      </c>
    </row>
    <row r="1072" spans="1:4" x14ac:dyDescent="0.2">
      <c r="A1072">
        <v>2001</v>
      </c>
      <c r="B1072">
        <v>331</v>
      </c>
      <c r="C1072">
        <v>0.23507743630348915</v>
      </c>
      <c r="D1072">
        <v>0.7649225636965109</v>
      </c>
    </row>
    <row r="1073" spans="1:4" x14ac:dyDescent="0.2">
      <c r="A1073">
        <v>2000</v>
      </c>
      <c r="B1073">
        <v>331</v>
      </c>
      <c r="C1073">
        <v>0.23520900086151661</v>
      </c>
      <c r="D1073">
        <v>0.76479099913848336</v>
      </c>
    </row>
    <row r="1074" spans="1:4" x14ac:dyDescent="0.2">
      <c r="A1074">
        <v>1999</v>
      </c>
      <c r="B1074">
        <v>331</v>
      </c>
      <c r="C1074">
        <v>0.21381375338122913</v>
      </c>
      <c r="D1074">
        <v>0.7861862466187709</v>
      </c>
    </row>
    <row r="1075" spans="1:4" x14ac:dyDescent="0.2">
      <c r="A1075">
        <v>1998</v>
      </c>
      <c r="B1075">
        <v>331</v>
      </c>
      <c r="C1075">
        <v>0.22815177275829396</v>
      </c>
      <c r="D1075">
        <v>0.77184822724170599</v>
      </c>
    </row>
    <row r="1076" spans="1:4" x14ac:dyDescent="0.2">
      <c r="A1076">
        <v>1997</v>
      </c>
      <c r="B1076">
        <v>331</v>
      </c>
      <c r="C1076">
        <v>0.23679509035117627</v>
      </c>
      <c r="D1076">
        <v>0.7632049096488237</v>
      </c>
    </row>
    <row r="1077" spans="1:4" x14ac:dyDescent="0.2">
      <c r="A1077">
        <v>2021</v>
      </c>
      <c r="B1077">
        <v>332</v>
      </c>
      <c r="C1077" t="s">
        <v>25</v>
      </c>
      <c r="D1077" t="s">
        <v>25</v>
      </c>
    </row>
    <row r="1078" spans="1:4" x14ac:dyDescent="0.2">
      <c r="A1078">
        <v>2020</v>
      </c>
      <c r="B1078">
        <v>332</v>
      </c>
      <c r="C1078" t="s">
        <v>25</v>
      </c>
      <c r="D1078" t="s">
        <v>25</v>
      </c>
    </row>
    <row r="1079" spans="1:4" x14ac:dyDescent="0.2">
      <c r="A1079">
        <v>2019</v>
      </c>
      <c r="B1079">
        <v>332</v>
      </c>
      <c r="C1079" t="s">
        <v>25</v>
      </c>
      <c r="D1079" t="s">
        <v>25</v>
      </c>
    </row>
    <row r="1080" spans="1:4" x14ac:dyDescent="0.2">
      <c r="A1080">
        <v>2018</v>
      </c>
      <c r="B1080">
        <v>332</v>
      </c>
      <c r="C1080" t="s">
        <v>25</v>
      </c>
      <c r="D1080" t="s">
        <v>25</v>
      </c>
    </row>
    <row r="1081" spans="1:4" x14ac:dyDescent="0.2">
      <c r="A1081">
        <v>2017</v>
      </c>
      <c r="B1081">
        <v>332</v>
      </c>
      <c r="C1081" t="s">
        <v>25</v>
      </c>
      <c r="D1081" t="s">
        <v>25</v>
      </c>
    </row>
    <row r="1082" spans="1:4" x14ac:dyDescent="0.2">
      <c r="A1082">
        <v>2016</v>
      </c>
      <c r="B1082">
        <v>332</v>
      </c>
      <c r="C1082" t="s">
        <v>25</v>
      </c>
      <c r="D1082" t="s">
        <v>25</v>
      </c>
    </row>
    <row r="1083" spans="1:4" x14ac:dyDescent="0.2">
      <c r="A1083">
        <v>2015</v>
      </c>
      <c r="B1083">
        <v>332</v>
      </c>
      <c r="C1083" t="s">
        <v>25</v>
      </c>
      <c r="D1083" t="s">
        <v>25</v>
      </c>
    </row>
    <row r="1084" spans="1:4" x14ac:dyDescent="0.2">
      <c r="A1084">
        <v>2014</v>
      </c>
      <c r="B1084">
        <v>332</v>
      </c>
      <c r="C1084" t="s">
        <v>25</v>
      </c>
      <c r="D1084" t="s">
        <v>25</v>
      </c>
    </row>
    <row r="1085" spans="1:4" x14ac:dyDescent="0.2">
      <c r="A1085">
        <v>2013</v>
      </c>
      <c r="B1085">
        <v>332</v>
      </c>
      <c r="C1085" t="s">
        <v>25</v>
      </c>
      <c r="D1085" t="s">
        <v>25</v>
      </c>
    </row>
    <row r="1086" spans="1:4" x14ac:dyDescent="0.2">
      <c r="A1086">
        <v>2012</v>
      </c>
      <c r="B1086">
        <v>332</v>
      </c>
      <c r="C1086" t="s">
        <v>25</v>
      </c>
      <c r="D1086" t="s">
        <v>25</v>
      </c>
    </row>
    <row r="1087" spans="1:4" x14ac:dyDescent="0.2">
      <c r="A1087">
        <v>2011</v>
      </c>
      <c r="B1087">
        <v>332</v>
      </c>
      <c r="C1087" t="s">
        <v>25</v>
      </c>
      <c r="D1087" t="s">
        <v>25</v>
      </c>
    </row>
    <row r="1088" spans="1:4" x14ac:dyDescent="0.2">
      <c r="A1088">
        <v>2010</v>
      </c>
      <c r="B1088">
        <v>332</v>
      </c>
      <c r="C1088" t="s">
        <v>25</v>
      </c>
      <c r="D1088" t="s">
        <v>25</v>
      </c>
    </row>
    <row r="1089" spans="1:4" x14ac:dyDescent="0.2">
      <c r="A1089">
        <v>2009</v>
      </c>
      <c r="B1089">
        <v>332</v>
      </c>
      <c r="C1089" t="s">
        <v>25</v>
      </c>
      <c r="D1089" t="s">
        <v>25</v>
      </c>
    </row>
    <row r="1090" spans="1:4" x14ac:dyDescent="0.2">
      <c r="A1090">
        <v>2008</v>
      </c>
      <c r="B1090">
        <v>332</v>
      </c>
      <c r="C1090" t="s">
        <v>25</v>
      </c>
      <c r="D1090" t="s">
        <v>25</v>
      </c>
    </row>
    <row r="1091" spans="1:4" x14ac:dyDescent="0.2">
      <c r="A1091">
        <v>2007</v>
      </c>
      <c r="B1091">
        <v>332</v>
      </c>
      <c r="C1091" t="s">
        <v>25</v>
      </c>
      <c r="D1091" t="s">
        <v>25</v>
      </c>
    </row>
    <row r="1092" spans="1:4" x14ac:dyDescent="0.2">
      <c r="A1092">
        <v>2006</v>
      </c>
      <c r="B1092">
        <v>332</v>
      </c>
      <c r="C1092" t="s">
        <v>25</v>
      </c>
      <c r="D1092" t="s">
        <v>25</v>
      </c>
    </row>
    <row r="1093" spans="1:4" x14ac:dyDescent="0.2">
      <c r="A1093">
        <v>2005</v>
      </c>
      <c r="B1093">
        <v>332</v>
      </c>
      <c r="C1093" t="s">
        <v>25</v>
      </c>
      <c r="D1093" t="s">
        <v>25</v>
      </c>
    </row>
    <row r="1094" spans="1:4" x14ac:dyDescent="0.2">
      <c r="A1094">
        <v>2004</v>
      </c>
      <c r="B1094">
        <v>332</v>
      </c>
      <c r="C1094" t="s">
        <v>25</v>
      </c>
      <c r="D1094" t="s">
        <v>25</v>
      </c>
    </row>
    <row r="1095" spans="1:4" x14ac:dyDescent="0.2">
      <c r="A1095">
        <v>2003</v>
      </c>
      <c r="B1095">
        <v>332</v>
      </c>
      <c r="C1095" t="s">
        <v>25</v>
      </c>
      <c r="D1095" t="s">
        <v>25</v>
      </c>
    </row>
    <row r="1096" spans="1:4" x14ac:dyDescent="0.2">
      <c r="A1096">
        <v>2002</v>
      </c>
      <c r="B1096">
        <v>332</v>
      </c>
      <c r="C1096" t="s">
        <v>25</v>
      </c>
      <c r="D1096" t="s">
        <v>25</v>
      </c>
    </row>
    <row r="1097" spans="1:4" x14ac:dyDescent="0.2">
      <c r="A1097">
        <v>2001</v>
      </c>
      <c r="B1097">
        <v>332</v>
      </c>
      <c r="C1097" t="s">
        <v>25</v>
      </c>
      <c r="D1097" t="s">
        <v>25</v>
      </c>
    </row>
    <row r="1098" spans="1:4" x14ac:dyDescent="0.2">
      <c r="A1098">
        <v>2000</v>
      </c>
      <c r="B1098">
        <v>332</v>
      </c>
      <c r="C1098" t="s">
        <v>25</v>
      </c>
      <c r="D1098" t="s">
        <v>25</v>
      </c>
    </row>
    <row r="1099" spans="1:4" x14ac:dyDescent="0.2">
      <c r="A1099">
        <v>1999</v>
      </c>
      <c r="B1099">
        <v>332</v>
      </c>
      <c r="C1099" t="s">
        <v>25</v>
      </c>
      <c r="D1099" t="s">
        <v>25</v>
      </c>
    </row>
    <row r="1100" spans="1:4" x14ac:dyDescent="0.2">
      <c r="A1100">
        <v>1998</v>
      </c>
      <c r="B1100">
        <v>332</v>
      </c>
      <c r="C1100" t="s">
        <v>25</v>
      </c>
      <c r="D1100" t="s">
        <v>25</v>
      </c>
    </row>
    <row r="1101" spans="1:4" x14ac:dyDescent="0.2">
      <c r="A1101">
        <v>1997</v>
      </c>
      <c r="B1101">
        <v>332</v>
      </c>
      <c r="C1101" t="s">
        <v>25</v>
      </c>
      <c r="D1101" t="s">
        <v>25</v>
      </c>
    </row>
    <row r="1102" spans="1:4" x14ac:dyDescent="0.2">
      <c r="A1102">
        <v>2021</v>
      </c>
      <c r="B1102">
        <v>333</v>
      </c>
      <c r="C1102" t="s">
        <v>25</v>
      </c>
      <c r="D1102" t="s">
        <v>25</v>
      </c>
    </row>
    <row r="1103" spans="1:4" x14ac:dyDescent="0.2">
      <c r="A1103">
        <v>2020</v>
      </c>
      <c r="B1103">
        <v>333</v>
      </c>
      <c r="C1103" t="s">
        <v>25</v>
      </c>
      <c r="D1103" t="s">
        <v>25</v>
      </c>
    </row>
    <row r="1104" spans="1:4" x14ac:dyDescent="0.2">
      <c r="A1104">
        <v>2019</v>
      </c>
      <c r="B1104">
        <v>333</v>
      </c>
      <c r="C1104" t="s">
        <v>25</v>
      </c>
      <c r="D1104" t="s">
        <v>25</v>
      </c>
    </row>
    <row r="1105" spans="1:4" x14ac:dyDescent="0.2">
      <c r="A1105">
        <v>2018</v>
      </c>
      <c r="B1105">
        <v>333</v>
      </c>
      <c r="C1105" t="s">
        <v>25</v>
      </c>
      <c r="D1105" t="s">
        <v>25</v>
      </c>
    </row>
    <row r="1106" spans="1:4" x14ac:dyDescent="0.2">
      <c r="A1106">
        <v>2017</v>
      </c>
      <c r="B1106">
        <v>333</v>
      </c>
      <c r="C1106" t="s">
        <v>25</v>
      </c>
      <c r="D1106" t="s">
        <v>25</v>
      </c>
    </row>
    <row r="1107" spans="1:4" x14ac:dyDescent="0.2">
      <c r="A1107">
        <v>2016</v>
      </c>
      <c r="B1107">
        <v>333</v>
      </c>
      <c r="C1107" t="s">
        <v>25</v>
      </c>
      <c r="D1107" t="s">
        <v>25</v>
      </c>
    </row>
    <row r="1108" spans="1:4" x14ac:dyDescent="0.2">
      <c r="A1108">
        <v>2015</v>
      </c>
      <c r="B1108">
        <v>333</v>
      </c>
      <c r="C1108" t="s">
        <v>25</v>
      </c>
      <c r="D1108" t="s">
        <v>25</v>
      </c>
    </row>
    <row r="1109" spans="1:4" x14ac:dyDescent="0.2">
      <c r="A1109">
        <v>2014</v>
      </c>
      <c r="B1109">
        <v>333</v>
      </c>
      <c r="C1109" t="s">
        <v>25</v>
      </c>
      <c r="D1109" t="s">
        <v>25</v>
      </c>
    </row>
    <row r="1110" spans="1:4" x14ac:dyDescent="0.2">
      <c r="A1110">
        <v>2013</v>
      </c>
      <c r="B1110">
        <v>333</v>
      </c>
      <c r="C1110" t="s">
        <v>25</v>
      </c>
      <c r="D1110" t="s">
        <v>25</v>
      </c>
    </row>
    <row r="1111" spans="1:4" x14ac:dyDescent="0.2">
      <c r="A1111">
        <v>2012</v>
      </c>
      <c r="B1111">
        <v>333</v>
      </c>
      <c r="C1111">
        <v>0.60426829268292681</v>
      </c>
      <c r="D1111">
        <v>0.39573170731707319</v>
      </c>
    </row>
    <row r="1112" spans="1:4" x14ac:dyDescent="0.2">
      <c r="A1112">
        <v>2011</v>
      </c>
      <c r="B1112">
        <v>333</v>
      </c>
      <c r="C1112" t="s">
        <v>25</v>
      </c>
      <c r="D1112" t="s">
        <v>25</v>
      </c>
    </row>
    <row r="1113" spans="1:4" x14ac:dyDescent="0.2">
      <c r="A1113">
        <v>2010</v>
      </c>
      <c r="B1113">
        <v>333</v>
      </c>
      <c r="C1113" t="s">
        <v>25</v>
      </c>
      <c r="D1113" t="s">
        <v>25</v>
      </c>
    </row>
    <row r="1114" spans="1:4" x14ac:dyDescent="0.2">
      <c r="A1114">
        <v>2009</v>
      </c>
      <c r="B1114">
        <v>333</v>
      </c>
      <c r="C1114" t="s">
        <v>25</v>
      </c>
      <c r="D1114" t="s">
        <v>25</v>
      </c>
    </row>
    <row r="1115" spans="1:4" x14ac:dyDescent="0.2">
      <c r="A1115">
        <v>2008</v>
      </c>
      <c r="B1115">
        <v>333</v>
      </c>
      <c r="C1115" t="s">
        <v>25</v>
      </c>
      <c r="D1115" t="s">
        <v>25</v>
      </c>
    </row>
    <row r="1116" spans="1:4" x14ac:dyDescent="0.2">
      <c r="A1116">
        <v>2007</v>
      </c>
      <c r="B1116">
        <v>333</v>
      </c>
      <c r="C1116" t="s">
        <v>25</v>
      </c>
      <c r="D1116" t="s">
        <v>25</v>
      </c>
    </row>
    <row r="1117" spans="1:4" x14ac:dyDescent="0.2">
      <c r="A1117">
        <v>2006</v>
      </c>
      <c r="B1117">
        <v>333</v>
      </c>
      <c r="C1117" t="s">
        <v>25</v>
      </c>
      <c r="D1117" t="s">
        <v>25</v>
      </c>
    </row>
    <row r="1118" spans="1:4" x14ac:dyDescent="0.2">
      <c r="A1118">
        <v>2005</v>
      </c>
      <c r="B1118">
        <v>333</v>
      </c>
      <c r="C1118" t="s">
        <v>25</v>
      </c>
      <c r="D1118" t="s">
        <v>25</v>
      </c>
    </row>
    <row r="1119" spans="1:4" x14ac:dyDescent="0.2">
      <c r="A1119">
        <v>2004</v>
      </c>
      <c r="B1119">
        <v>333</v>
      </c>
      <c r="C1119" t="s">
        <v>25</v>
      </c>
      <c r="D1119" t="s">
        <v>25</v>
      </c>
    </row>
    <row r="1120" spans="1:4" x14ac:dyDescent="0.2">
      <c r="A1120">
        <v>2003</v>
      </c>
      <c r="B1120">
        <v>333</v>
      </c>
      <c r="C1120" t="s">
        <v>25</v>
      </c>
      <c r="D1120" t="s">
        <v>25</v>
      </c>
    </row>
    <row r="1121" spans="1:4" x14ac:dyDescent="0.2">
      <c r="A1121">
        <v>2002</v>
      </c>
      <c r="B1121">
        <v>333</v>
      </c>
      <c r="C1121" t="s">
        <v>25</v>
      </c>
      <c r="D1121" t="s">
        <v>25</v>
      </c>
    </row>
    <row r="1122" spans="1:4" x14ac:dyDescent="0.2">
      <c r="A1122">
        <v>2001</v>
      </c>
      <c r="B1122">
        <v>333</v>
      </c>
      <c r="C1122" t="s">
        <v>25</v>
      </c>
      <c r="D1122" t="s">
        <v>25</v>
      </c>
    </row>
    <row r="1123" spans="1:4" x14ac:dyDescent="0.2">
      <c r="A1123">
        <v>2000</v>
      </c>
      <c r="B1123">
        <v>333</v>
      </c>
      <c r="C1123" t="s">
        <v>25</v>
      </c>
      <c r="D1123" t="s">
        <v>25</v>
      </c>
    </row>
    <row r="1124" spans="1:4" x14ac:dyDescent="0.2">
      <c r="A1124">
        <v>1999</v>
      </c>
      <c r="B1124">
        <v>333</v>
      </c>
      <c r="C1124" t="s">
        <v>25</v>
      </c>
      <c r="D1124" t="s">
        <v>25</v>
      </c>
    </row>
    <row r="1125" spans="1:4" x14ac:dyDescent="0.2">
      <c r="A1125">
        <v>1998</v>
      </c>
      <c r="B1125">
        <v>333</v>
      </c>
      <c r="C1125" t="s">
        <v>25</v>
      </c>
      <c r="D1125" t="s">
        <v>25</v>
      </c>
    </row>
    <row r="1126" spans="1:4" x14ac:dyDescent="0.2">
      <c r="A1126">
        <v>1997</v>
      </c>
      <c r="B1126">
        <v>333</v>
      </c>
      <c r="C1126" t="s">
        <v>25</v>
      </c>
      <c r="D1126" t="s">
        <v>25</v>
      </c>
    </row>
    <row r="1127" spans="1:4" x14ac:dyDescent="0.2">
      <c r="A1127">
        <v>2021</v>
      </c>
      <c r="B1127">
        <v>400</v>
      </c>
      <c r="C1127" t="s">
        <v>25</v>
      </c>
      <c r="D1127" t="s">
        <v>25</v>
      </c>
    </row>
    <row r="1128" spans="1:4" x14ac:dyDescent="0.2">
      <c r="A1128">
        <v>2020</v>
      </c>
      <c r="B1128">
        <v>400</v>
      </c>
      <c r="C1128">
        <v>0.66435701702877281</v>
      </c>
      <c r="D1128">
        <v>0.33564298297122719</v>
      </c>
    </row>
    <row r="1129" spans="1:4" x14ac:dyDescent="0.2">
      <c r="A1129">
        <v>2019</v>
      </c>
      <c r="B1129">
        <v>400</v>
      </c>
      <c r="C1129" t="s">
        <v>25</v>
      </c>
      <c r="D1129" t="s">
        <v>25</v>
      </c>
    </row>
    <row r="1130" spans="1:4" x14ac:dyDescent="0.2">
      <c r="A1130">
        <v>2018</v>
      </c>
      <c r="B1130">
        <v>400</v>
      </c>
      <c r="C1130">
        <v>0.62665589239631947</v>
      </c>
      <c r="D1130">
        <v>0.37334410760368053</v>
      </c>
    </row>
    <row r="1131" spans="1:4" x14ac:dyDescent="0.2">
      <c r="A1131">
        <v>2017</v>
      </c>
      <c r="B1131">
        <v>400</v>
      </c>
      <c r="C1131" t="s">
        <v>25</v>
      </c>
      <c r="D1131" t="s">
        <v>25</v>
      </c>
    </row>
    <row r="1132" spans="1:4" x14ac:dyDescent="0.2">
      <c r="A1132">
        <v>2016</v>
      </c>
      <c r="B1132">
        <v>400</v>
      </c>
      <c r="C1132">
        <v>0.7868888281890194</v>
      </c>
      <c r="D1132">
        <v>0.2131111718109806</v>
      </c>
    </row>
    <row r="1133" spans="1:4" x14ac:dyDescent="0.2">
      <c r="A1133">
        <v>2015</v>
      </c>
      <c r="B1133">
        <v>400</v>
      </c>
      <c r="C1133" t="s">
        <v>25</v>
      </c>
      <c r="D1133" t="s">
        <v>25</v>
      </c>
    </row>
    <row r="1134" spans="1:4" x14ac:dyDescent="0.2">
      <c r="A1134">
        <v>2014</v>
      </c>
      <c r="B1134">
        <v>400</v>
      </c>
      <c r="C1134">
        <v>0.76686962657119706</v>
      </c>
      <c r="D1134">
        <v>0.23313037342880294</v>
      </c>
    </row>
    <row r="1135" spans="1:4" x14ac:dyDescent="0.2">
      <c r="A1135">
        <v>2013</v>
      </c>
      <c r="B1135">
        <v>400</v>
      </c>
      <c r="C1135">
        <v>0.71703703703703703</v>
      </c>
      <c r="D1135">
        <v>0.28296296296296297</v>
      </c>
    </row>
    <row r="1136" spans="1:4" x14ac:dyDescent="0.2">
      <c r="A1136">
        <v>2012</v>
      </c>
      <c r="B1136">
        <v>400</v>
      </c>
      <c r="C1136">
        <v>0.68267067246228585</v>
      </c>
      <c r="D1136">
        <v>0.31732932753771415</v>
      </c>
    </row>
    <row r="1137" spans="1:4" x14ac:dyDescent="0.2">
      <c r="A1137">
        <v>2011</v>
      </c>
      <c r="B1137">
        <v>400</v>
      </c>
      <c r="C1137" t="s">
        <v>25</v>
      </c>
      <c r="D1137" t="s">
        <v>25</v>
      </c>
    </row>
    <row r="1138" spans="1:4" x14ac:dyDescent="0.2">
      <c r="A1138">
        <v>2010</v>
      </c>
      <c r="B1138">
        <v>400</v>
      </c>
      <c r="C1138">
        <v>0.75814570461130304</v>
      </c>
      <c r="D1138">
        <v>0.24185429538869696</v>
      </c>
    </row>
    <row r="1139" spans="1:4" x14ac:dyDescent="0.2">
      <c r="A1139">
        <v>2009</v>
      </c>
      <c r="B1139">
        <v>400</v>
      </c>
      <c r="C1139" t="s">
        <v>25</v>
      </c>
      <c r="D1139" t="s">
        <v>25</v>
      </c>
    </row>
    <row r="1140" spans="1:4" x14ac:dyDescent="0.2">
      <c r="A1140">
        <v>2008</v>
      </c>
      <c r="B1140">
        <v>400</v>
      </c>
      <c r="C1140" t="s">
        <v>25</v>
      </c>
      <c r="D1140" t="s">
        <v>25</v>
      </c>
    </row>
    <row r="1141" spans="1:4" x14ac:dyDescent="0.2">
      <c r="A1141">
        <v>2007</v>
      </c>
      <c r="B1141">
        <v>400</v>
      </c>
      <c r="C1141" t="s">
        <v>25</v>
      </c>
      <c r="D1141" t="s">
        <v>25</v>
      </c>
    </row>
    <row r="1142" spans="1:4" x14ac:dyDescent="0.2">
      <c r="A1142">
        <v>2006</v>
      </c>
      <c r="B1142">
        <v>400</v>
      </c>
      <c r="C1142" t="s">
        <v>25</v>
      </c>
      <c r="D1142" t="s">
        <v>25</v>
      </c>
    </row>
    <row r="1143" spans="1:4" x14ac:dyDescent="0.2">
      <c r="A1143">
        <v>2005</v>
      </c>
      <c r="B1143">
        <v>400</v>
      </c>
      <c r="C1143" t="s">
        <v>25</v>
      </c>
      <c r="D1143" t="s">
        <v>25</v>
      </c>
    </row>
    <row r="1144" spans="1:4" x14ac:dyDescent="0.2">
      <c r="A1144">
        <v>2004</v>
      </c>
      <c r="B1144">
        <v>400</v>
      </c>
      <c r="C1144">
        <v>0.78857764481914605</v>
      </c>
      <c r="D1144">
        <v>0.21142235518085395</v>
      </c>
    </row>
    <row r="1145" spans="1:4" x14ac:dyDescent="0.2">
      <c r="A1145">
        <v>2003</v>
      </c>
      <c r="B1145">
        <v>400</v>
      </c>
      <c r="C1145" t="s">
        <v>25</v>
      </c>
      <c r="D1145" t="s">
        <v>25</v>
      </c>
    </row>
    <row r="1146" spans="1:4" x14ac:dyDescent="0.2">
      <c r="A1146">
        <v>2002</v>
      </c>
      <c r="B1146">
        <v>400</v>
      </c>
      <c r="C1146">
        <v>0.71639111950873879</v>
      </c>
      <c r="D1146">
        <v>0.28360888049126121</v>
      </c>
    </row>
    <row r="1147" spans="1:4" x14ac:dyDescent="0.2">
      <c r="A1147">
        <v>2001</v>
      </c>
      <c r="B1147">
        <v>400</v>
      </c>
      <c r="C1147" t="s">
        <v>25</v>
      </c>
      <c r="D1147" t="s">
        <v>25</v>
      </c>
    </row>
    <row r="1148" spans="1:4" x14ac:dyDescent="0.2">
      <c r="A1148">
        <v>2000</v>
      </c>
      <c r="B1148">
        <v>400</v>
      </c>
      <c r="C1148" t="s">
        <v>25</v>
      </c>
      <c r="D1148" t="s">
        <v>25</v>
      </c>
    </row>
    <row r="1149" spans="1:4" x14ac:dyDescent="0.2">
      <c r="A1149">
        <v>1999</v>
      </c>
      <c r="B1149">
        <v>400</v>
      </c>
      <c r="C1149" t="s">
        <v>25</v>
      </c>
      <c r="D1149" t="s">
        <v>25</v>
      </c>
    </row>
    <row r="1150" spans="1:4" x14ac:dyDescent="0.2">
      <c r="A1150">
        <v>1998</v>
      </c>
      <c r="B1150">
        <v>400</v>
      </c>
      <c r="C1150">
        <v>0.60023866348448685</v>
      </c>
      <c r="D1150">
        <v>0.39976133651551315</v>
      </c>
    </row>
    <row r="1151" spans="1:4" x14ac:dyDescent="0.2">
      <c r="A1151">
        <v>1997</v>
      </c>
      <c r="B1151">
        <v>400</v>
      </c>
      <c r="C1151">
        <v>0.72025316455696209</v>
      </c>
      <c r="D1151">
        <v>0.27974683544303791</v>
      </c>
    </row>
    <row r="1152" spans="1:4" x14ac:dyDescent="0.2">
      <c r="A1152">
        <v>2021</v>
      </c>
      <c r="B1152">
        <v>401</v>
      </c>
      <c r="C1152">
        <v>0.62457334310543411</v>
      </c>
      <c r="D1152">
        <v>0.37542665689456589</v>
      </c>
    </row>
    <row r="1153" spans="1:4" x14ac:dyDescent="0.2">
      <c r="A1153">
        <v>2020</v>
      </c>
      <c r="B1153">
        <v>401</v>
      </c>
      <c r="C1153">
        <v>0.74553761803228757</v>
      </c>
      <c r="D1153">
        <v>0.25446238196771243</v>
      </c>
    </row>
    <row r="1154" spans="1:4" x14ac:dyDescent="0.2">
      <c r="A1154">
        <v>2019</v>
      </c>
      <c r="B1154">
        <v>401</v>
      </c>
      <c r="C1154">
        <v>0.7446066886481395</v>
      </c>
      <c r="D1154">
        <v>0.2553933113518605</v>
      </c>
    </row>
    <row r="1155" spans="1:4" x14ac:dyDescent="0.2">
      <c r="A1155">
        <v>2018</v>
      </c>
      <c r="B1155">
        <v>401</v>
      </c>
      <c r="C1155">
        <v>0.77948717948717949</v>
      </c>
      <c r="D1155">
        <v>0.22051282051282051</v>
      </c>
    </row>
    <row r="1156" spans="1:4" x14ac:dyDescent="0.2">
      <c r="A1156">
        <v>2017</v>
      </c>
      <c r="B1156">
        <v>401</v>
      </c>
      <c r="C1156">
        <v>0.78898928932770473</v>
      </c>
      <c r="D1156">
        <v>0.21101071067229527</v>
      </c>
    </row>
    <row r="1157" spans="1:4" x14ac:dyDescent="0.2">
      <c r="A1157">
        <v>2016</v>
      </c>
      <c r="B1157">
        <v>401</v>
      </c>
      <c r="C1157">
        <v>0.73822523722552569</v>
      </c>
      <c r="D1157">
        <v>0.26177476277447431</v>
      </c>
    </row>
    <row r="1158" spans="1:4" x14ac:dyDescent="0.2">
      <c r="A1158">
        <v>2015</v>
      </c>
      <c r="B1158">
        <v>401</v>
      </c>
      <c r="C1158">
        <v>0.74709267490629405</v>
      </c>
      <c r="D1158">
        <v>0.25290732509370595</v>
      </c>
    </row>
    <row r="1159" spans="1:4" x14ac:dyDescent="0.2">
      <c r="A1159">
        <v>2014</v>
      </c>
      <c r="B1159">
        <v>401</v>
      </c>
      <c r="C1159">
        <v>0.78002151162538536</v>
      </c>
      <c r="D1159">
        <v>0.21997848837461464</v>
      </c>
    </row>
    <row r="1160" spans="1:4" x14ac:dyDescent="0.2">
      <c r="A1160">
        <v>2013</v>
      </c>
      <c r="B1160">
        <v>401</v>
      </c>
      <c r="C1160">
        <v>0.78216020315080992</v>
      </c>
      <c r="D1160">
        <v>0.21783979684919008</v>
      </c>
    </row>
    <row r="1161" spans="1:4" x14ac:dyDescent="0.2">
      <c r="A1161">
        <v>2012</v>
      </c>
      <c r="B1161">
        <v>401</v>
      </c>
      <c r="C1161">
        <v>0.6886410611967243</v>
      </c>
      <c r="D1161">
        <v>0.3113589388032757</v>
      </c>
    </row>
    <row r="1162" spans="1:4" x14ac:dyDescent="0.2">
      <c r="A1162">
        <v>2011</v>
      </c>
      <c r="B1162">
        <v>401</v>
      </c>
      <c r="C1162">
        <v>0.69280761958120329</v>
      </c>
      <c r="D1162">
        <v>0.30719238041879671</v>
      </c>
    </row>
    <row r="1163" spans="1:4" x14ac:dyDescent="0.2">
      <c r="A1163">
        <v>2010</v>
      </c>
      <c r="B1163">
        <v>401</v>
      </c>
      <c r="C1163">
        <v>0.7381038152939251</v>
      </c>
      <c r="D1163">
        <v>0.2618961847060749</v>
      </c>
    </row>
    <row r="1164" spans="1:4" x14ac:dyDescent="0.2">
      <c r="A1164">
        <v>2009</v>
      </c>
      <c r="B1164">
        <v>401</v>
      </c>
      <c r="C1164">
        <v>0.73248145094806261</v>
      </c>
      <c r="D1164">
        <v>0.26751854905193739</v>
      </c>
    </row>
    <row r="1165" spans="1:4" x14ac:dyDescent="0.2">
      <c r="A1165">
        <v>2008</v>
      </c>
      <c r="B1165">
        <v>401</v>
      </c>
      <c r="C1165">
        <v>0.73600026558661447</v>
      </c>
      <c r="D1165">
        <v>0.26399973441338553</v>
      </c>
    </row>
    <row r="1166" spans="1:4" x14ac:dyDescent="0.2">
      <c r="A1166">
        <v>2007</v>
      </c>
      <c r="B1166">
        <v>401</v>
      </c>
      <c r="C1166">
        <v>0.79329666552079747</v>
      </c>
      <c r="D1166">
        <v>0.20670333447920253</v>
      </c>
    </row>
    <row r="1167" spans="1:4" x14ac:dyDescent="0.2">
      <c r="A1167">
        <v>2006</v>
      </c>
      <c r="B1167">
        <v>401</v>
      </c>
      <c r="C1167">
        <v>0.79246685415829654</v>
      </c>
      <c r="D1167">
        <v>0.20753314584170346</v>
      </c>
    </row>
    <row r="1168" spans="1:4" x14ac:dyDescent="0.2">
      <c r="A1168">
        <v>2005</v>
      </c>
      <c r="B1168">
        <v>401</v>
      </c>
      <c r="C1168">
        <v>0.75328185328185326</v>
      </c>
      <c r="D1168">
        <v>0.24671814671814674</v>
      </c>
    </row>
    <row r="1169" spans="1:4" x14ac:dyDescent="0.2">
      <c r="A1169">
        <v>2004</v>
      </c>
      <c r="B1169">
        <v>401</v>
      </c>
      <c r="C1169">
        <v>0.69259918350256477</v>
      </c>
      <c r="D1169">
        <v>0.30740081649743523</v>
      </c>
    </row>
    <row r="1170" spans="1:4" x14ac:dyDescent="0.2">
      <c r="A1170">
        <v>2003</v>
      </c>
      <c r="B1170">
        <v>401</v>
      </c>
      <c r="C1170" t="s">
        <v>25</v>
      </c>
      <c r="D1170" t="s">
        <v>25</v>
      </c>
    </row>
    <row r="1171" spans="1:4" x14ac:dyDescent="0.2">
      <c r="A1171">
        <v>2002</v>
      </c>
      <c r="B1171">
        <v>401</v>
      </c>
      <c r="C1171">
        <v>0.78960498960498959</v>
      </c>
      <c r="D1171">
        <v>0.21039501039501041</v>
      </c>
    </row>
    <row r="1172" spans="1:4" x14ac:dyDescent="0.2">
      <c r="A1172">
        <v>2001</v>
      </c>
      <c r="B1172">
        <v>401</v>
      </c>
      <c r="C1172">
        <v>0.77894736842105272</v>
      </c>
      <c r="D1172">
        <v>0.22105263157894728</v>
      </c>
    </row>
    <row r="1173" spans="1:4" x14ac:dyDescent="0.2">
      <c r="A1173">
        <v>2000</v>
      </c>
      <c r="B1173">
        <v>401</v>
      </c>
      <c r="C1173">
        <v>0.73388773388773387</v>
      </c>
      <c r="D1173">
        <v>0.26611226611226613</v>
      </c>
    </row>
    <row r="1174" spans="1:4" x14ac:dyDescent="0.2">
      <c r="A1174">
        <v>1999</v>
      </c>
      <c r="B1174">
        <v>401</v>
      </c>
      <c r="C1174">
        <v>0.78601398601398598</v>
      </c>
      <c r="D1174">
        <v>0.21398601398601402</v>
      </c>
    </row>
    <row r="1175" spans="1:4" x14ac:dyDescent="0.2">
      <c r="A1175">
        <v>1998</v>
      </c>
      <c r="B1175">
        <v>401</v>
      </c>
      <c r="C1175">
        <v>0.7878934624697338</v>
      </c>
      <c r="D1175">
        <v>0.2121065375302662</v>
      </c>
    </row>
    <row r="1176" spans="1:4" x14ac:dyDescent="0.2">
      <c r="A1176">
        <v>1997</v>
      </c>
      <c r="B1176">
        <v>401</v>
      </c>
      <c r="C1176">
        <v>0.67155425219941356</v>
      </c>
      <c r="D1176">
        <v>0.32844574780058644</v>
      </c>
    </row>
    <row r="1177" spans="1:4" x14ac:dyDescent="0.2">
      <c r="A1177">
        <v>2021</v>
      </c>
      <c r="B1177">
        <v>402</v>
      </c>
      <c r="C1177">
        <v>0.64614442184705101</v>
      </c>
      <c r="D1177">
        <v>0.35385557815294899</v>
      </c>
    </row>
    <row r="1178" spans="1:4" x14ac:dyDescent="0.2">
      <c r="A1178">
        <v>2020</v>
      </c>
      <c r="B1178">
        <v>402</v>
      </c>
      <c r="C1178">
        <v>0.74129113191160878</v>
      </c>
      <c r="D1178">
        <v>0.25870886808839122</v>
      </c>
    </row>
    <row r="1179" spans="1:4" x14ac:dyDescent="0.2">
      <c r="A1179">
        <v>2019</v>
      </c>
      <c r="B1179">
        <v>402</v>
      </c>
      <c r="C1179">
        <v>0.78123749247514773</v>
      </c>
      <c r="D1179">
        <v>0.21876250752485227</v>
      </c>
    </row>
    <row r="1180" spans="1:4" x14ac:dyDescent="0.2">
      <c r="A1180">
        <v>2018</v>
      </c>
      <c r="B1180">
        <v>402</v>
      </c>
      <c r="C1180">
        <v>0.7535236092643558</v>
      </c>
      <c r="D1180">
        <v>0.2464763907356442</v>
      </c>
    </row>
    <row r="1181" spans="1:4" x14ac:dyDescent="0.2">
      <c r="A1181">
        <v>2017</v>
      </c>
      <c r="B1181">
        <v>402</v>
      </c>
      <c r="C1181">
        <v>0.72147256438969776</v>
      </c>
      <c r="D1181">
        <v>0.27852743561030224</v>
      </c>
    </row>
    <row r="1182" spans="1:4" x14ac:dyDescent="0.2">
      <c r="A1182">
        <v>2016</v>
      </c>
      <c r="B1182">
        <v>402</v>
      </c>
      <c r="C1182">
        <v>0.71489361702127674</v>
      </c>
      <c r="D1182">
        <v>0.28510638297872326</v>
      </c>
    </row>
    <row r="1183" spans="1:4" x14ac:dyDescent="0.2">
      <c r="A1183">
        <v>2015</v>
      </c>
      <c r="B1183">
        <v>402</v>
      </c>
      <c r="C1183">
        <v>0.77054966956886595</v>
      </c>
      <c r="D1183">
        <v>0.22945033043113405</v>
      </c>
    </row>
    <row r="1184" spans="1:4" x14ac:dyDescent="0.2">
      <c r="A1184">
        <v>2014</v>
      </c>
      <c r="B1184">
        <v>402</v>
      </c>
      <c r="C1184">
        <v>0.68029154089670918</v>
      </c>
      <c r="D1184">
        <v>0.31970845910329082</v>
      </c>
    </row>
    <row r="1185" spans="1:4" x14ac:dyDescent="0.2">
      <c r="A1185">
        <v>2013</v>
      </c>
      <c r="B1185">
        <v>402</v>
      </c>
      <c r="C1185">
        <v>0.77331023468586746</v>
      </c>
      <c r="D1185">
        <v>0.22668976531413254</v>
      </c>
    </row>
    <row r="1186" spans="1:4" x14ac:dyDescent="0.2">
      <c r="A1186">
        <v>2012</v>
      </c>
      <c r="B1186">
        <v>402</v>
      </c>
      <c r="C1186">
        <v>0.775771369213622</v>
      </c>
      <c r="D1186">
        <v>0.224228630786378</v>
      </c>
    </row>
    <row r="1187" spans="1:4" x14ac:dyDescent="0.2">
      <c r="A1187">
        <v>2011</v>
      </c>
      <c r="B1187">
        <v>402</v>
      </c>
      <c r="C1187">
        <v>0.72004721021872808</v>
      </c>
      <c r="D1187">
        <v>0.27995278978127192</v>
      </c>
    </row>
    <row r="1188" spans="1:4" x14ac:dyDescent="0.2">
      <c r="A1188">
        <v>2010</v>
      </c>
      <c r="B1188">
        <v>402</v>
      </c>
      <c r="C1188">
        <v>0.71600110524861516</v>
      </c>
      <c r="D1188">
        <v>0.28399889475138484</v>
      </c>
    </row>
    <row r="1189" spans="1:4" x14ac:dyDescent="0.2">
      <c r="A1189">
        <v>2009</v>
      </c>
      <c r="B1189">
        <v>402</v>
      </c>
      <c r="C1189">
        <v>0.771013344949115</v>
      </c>
      <c r="D1189">
        <v>0.228986655050885</v>
      </c>
    </row>
    <row r="1190" spans="1:4" x14ac:dyDescent="0.2">
      <c r="A1190">
        <v>2008</v>
      </c>
      <c r="B1190">
        <v>402</v>
      </c>
      <c r="C1190">
        <v>0.57626084916725306</v>
      </c>
      <c r="D1190">
        <v>0.42373915083274694</v>
      </c>
    </row>
    <row r="1191" spans="1:4" x14ac:dyDescent="0.2">
      <c r="A1191">
        <v>2007</v>
      </c>
      <c r="B1191">
        <v>402</v>
      </c>
      <c r="C1191">
        <v>0.72861080485115759</v>
      </c>
      <c r="D1191">
        <v>0.27138919514884241</v>
      </c>
    </row>
    <row r="1192" spans="1:4" x14ac:dyDescent="0.2">
      <c r="A1192">
        <v>2006</v>
      </c>
      <c r="B1192">
        <v>402</v>
      </c>
      <c r="C1192">
        <v>0.58152703643536785</v>
      </c>
      <c r="D1192">
        <v>0.41847296356463215</v>
      </c>
    </row>
    <row r="1193" spans="1:4" x14ac:dyDescent="0.2">
      <c r="A1193">
        <v>2005</v>
      </c>
      <c r="B1193">
        <v>402</v>
      </c>
      <c r="C1193">
        <v>0.70332443581654935</v>
      </c>
      <c r="D1193">
        <v>0.29667556418345065</v>
      </c>
    </row>
    <row r="1194" spans="1:4" x14ac:dyDescent="0.2">
      <c r="A1194">
        <v>2004</v>
      </c>
      <c r="B1194">
        <v>402</v>
      </c>
      <c r="C1194">
        <v>0.79413753346491323</v>
      </c>
      <c r="D1194">
        <v>0.20586246653508677</v>
      </c>
    </row>
    <row r="1195" spans="1:4" x14ac:dyDescent="0.2">
      <c r="A1195">
        <v>2003</v>
      </c>
      <c r="B1195">
        <v>402</v>
      </c>
      <c r="C1195">
        <v>0.79789965998594048</v>
      </c>
      <c r="D1195">
        <v>0.20210034001405952</v>
      </c>
    </row>
    <row r="1196" spans="1:4" x14ac:dyDescent="0.2">
      <c r="A1196">
        <v>2002</v>
      </c>
      <c r="B1196">
        <v>402</v>
      </c>
      <c r="C1196">
        <v>0.75845160027405301</v>
      </c>
      <c r="D1196">
        <v>0.24154839972594699</v>
      </c>
    </row>
    <row r="1197" spans="1:4" x14ac:dyDescent="0.2">
      <c r="A1197">
        <v>2001</v>
      </c>
      <c r="B1197">
        <v>402</v>
      </c>
      <c r="C1197">
        <v>0.70890052356020938</v>
      </c>
      <c r="D1197">
        <v>0.29109947643979062</v>
      </c>
    </row>
    <row r="1198" spans="1:4" x14ac:dyDescent="0.2">
      <c r="A1198">
        <v>2000</v>
      </c>
      <c r="B1198">
        <v>402</v>
      </c>
      <c r="C1198">
        <v>0.65379746835443053</v>
      </c>
      <c r="D1198">
        <v>0.34620253164556947</v>
      </c>
    </row>
    <row r="1199" spans="1:4" x14ac:dyDescent="0.2">
      <c r="A1199">
        <v>1999</v>
      </c>
      <c r="B1199">
        <v>402</v>
      </c>
      <c r="C1199">
        <v>0.73059125964010285</v>
      </c>
      <c r="D1199">
        <v>0.26940874035989715</v>
      </c>
    </row>
    <row r="1200" spans="1:4" x14ac:dyDescent="0.2">
      <c r="A1200">
        <v>1998</v>
      </c>
      <c r="B1200">
        <v>402</v>
      </c>
      <c r="C1200">
        <v>0.76261799874134684</v>
      </c>
      <c r="D1200">
        <v>0.23738200125865316</v>
      </c>
    </row>
    <row r="1201" spans="1:4" x14ac:dyDescent="0.2">
      <c r="A1201">
        <v>1997</v>
      </c>
      <c r="B1201">
        <v>402</v>
      </c>
      <c r="C1201">
        <v>0.74104683195592302</v>
      </c>
      <c r="D1201">
        <v>0.25895316804407698</v>
      </c>
    </row>
    <row r="1202" spans="1:4" x14ac:dyDescent="0.2">
      <c r="A1202">
        <v>2021</v>
      </c>
      <c r="B1202">
        <v>403</v>
      </c>
      <c r="C1202">
        <v>0.41107398309370713</v>
      </c>
      <c r="D1202">
        <v>0.58892601690629287</v>
      </c>
    </row>
    <row r="1203" spans="1:4" x14ac:dyDescent="0.2">
      <c r="A1203">
        <v>2020</v>
      </c>
      <c r="B1203">
        <v>403</v>
      </c>
      <c r="C1203">
        <v>0.52525698657697029</v>
      </c>
      <c r="D1203">
        <v>0.47474301342302971</v>
      </c>
    </row>
    <row r="1204" spans="1:4" x14ac:dyDescent="0.2">
      <c r="A1204">
        <v>2019</v>
      </c>
      <c r="B1204">
        <v>403</v>
      </c>
      <c r="C1204">
        <v>0.50788519908302709</v>
      </c>
      <c r="D1204">
        <v>0.49211480091697291</v>
      </c>
    </row>
    <row r="1205" spans="1:4" x14ac:dyDescent="0.2">
      <c r="A1205">
        <v>2018</v>
      </c>
      <c r="B1205">
        <v>403</v>
      </c>
      <c r="C1205">
        <v>0.4110743679098392</v>
      </c>
      <c r="D1205">
        <v>0.5889256320901608</v>
      </c>
    </row>
    <row r="1206" spans="1:4" x14ac:dyDescent="0.2">
      <c r="A1206">
        <v>2017</v>
      </c>
      <c r="B1206">
        <v>403</v>
      </c>
      <c r="C1206">
        <v>0.46959599292162812</v>
      </c>
      <c r="D1206">
        <v>0.53040400707837188</v>
      </c>
    </row>
    <row r="1207" spans="1:4" x14ac:dyDescent="0.2">
      <c r="A1207">
        <v>2016</v>
      </c>
      <c r="B1207">
        <v>403</v>
      </c>
      <c r="C1207">
        <v>0.3239312956154311</v>
      </c>
      <c r="D1207">
        <v>0.6760687043845689</v>
      </c>
    </row>
    <row r="1208" spans="1:4" x14ac:dyDescent="0.2">
      <c r="A1208">
        <v>2015</v>
      </c>
      <c r="B1208">
        <v>403</v>
      </c>
      <c r="C1208">
        <v>0.49479455817010137</v>
      </c>
      <c r="D1208">
        <v>0.50520544182989857</v>
      </c>
    </row>
    <row r="1209" spans="1:4" x14ac:dyDescent="0.2">
      <c r="A1209">
        <v>2014</v>
      </c>
      <c r="B1209">
        <v>403</v>
      </c>
      <c r="C1209">
        <v>0.59877099562018543</v>
      </c>
      <c r="D1209">
        <v>0.40122900437981457</v>
      </c>
    </row>
    <row r="1210" spans="1:4" x14ac:dyDescent="0.2">
      <c r="A1210">
        <v>2013</v>
      </c>
      <c r="B1210">
        <v>403</v>
      </c>
      <c r="C1210">
        <v>0.54164955247100921</v>
      </c>
      <c r="D1210">
        <v>0.45835044752899079</v>
      </c>
    </row>
    <row r="1211" spans="1:4" x14ac:dyDescent="0.2">
      <c r="A1211">
        <v>2012</v>
      </c>
      <c r="B1211">
        <v>403</v>
      </c>
      <c r="C1211">
        <v>0.62881663011347377</v>
      </c>
      <c r="D1211">
        <v>0.37118336988652623</v>
      </c>
    </row>
    <row r="1212" spans="1:4" x14ac:dyDescent="0.2">
      <c r="A1212">
        <v>2011</v>
      </c>
      <c r="B1212">
        <v>403</v>
      </c>
      <c r="C1212">
        <v>0.62849473581730431</v>
      </c>
      <c r="D1212">
        <v>0.37150526418269569</v>
      </c>
    </row>
    <row r="1213" spans="1:4" x14ac:dyDescent="0.2">
      <c r="A1213">
        <v>2010</v>
      </c>
      <c r="B1213">
        <v>403</v>
      </c>
      <c r="C1213">
        <v>0.64711863413081616</v>
      </c>
      <c r="D1213">
        <v>0.35288136586918384</v>
      </c>
    </row>
    <row r="1214" spans="1:4" x14ac:dyDescent="0.2">
      <c r="A1214">
        <v>2009</v>
      </c>
      <c r="B1214">
        <v>403</v>
      </c>
      <c r="C1214">
        <v>0.66574664870353328</v>
      </c>
      <c r="D1214">
        <v>0.33425335129646672</v>
      </c>
    </row>
    <row r="1215" spans="1:4" x14ac:dyDescent="0.2">
      <c r="A1215">
        <v>2008</v>
      </c>
      <c r="B1215">
        <v>403</v>
      </c>
      <c r="C1215">
        <v>0.59998780376253924</v>
      </c>
      <c r="D1215">
        <v>0.40001219623746076</v>
      </c>
    </row>
    <row r="1216" spans="1:4" x14ac:dyDescent="0.2">
      <c r="A1216">
        <v>2007</v>
      </c>
      <c r="B1216">
        <v>403</v>
      </c>
      <c r="C1216">
        <v>0.62558004640371234</v>
      </c>
      <c r="D1216">
        <v>0.37441995359628766</v>
      </c>
    </row>
    <row r="1217" spans="1:4" x14ac:dyDescent="0.2">
      <c r="A1217">
        <v>2006</v>
      </c>
      <c r="B1217">
        <v>403</v>
      </c>
      <c r="C1217">
        <v>0.37558359299177613</v>
      </c>
      <c r="D1217">
        <v>0.62441640700822387</v>
      </c>
    </row>
    <row r="1218" spans="1:4" x14ac:dyDescent="0.2">
      <c r="A1218">
        <v>2005</v>
      </c>
      <c r="B1218">
        <v>403</v>
      </c>
      <c r="C1218">
        <v>0.67581098339719026</v>
      </c>
      <c r="D1218">
        <v>0.32418901660280974</v>
      </c>
    </row>
    <row r="1219" spans="1:4" x14ac:dyDescent="0.2">
      <c r="A1219">
        <v>2004</v>
      </c>
      <c r="B1219">
        <v>403</v>
      </c>
      <c r="C1219">
        <v>0.70159054120627784</v>
      </c>
      <c r="D1219">
        <v>0.29840945879372216</v>
      </c>
    </row>
    <row r="1220" spans="1:4" x14ac:dyDescent="0.2">
      <c r="A1220">
        <v>2003</v>
      </c>
      <c r="B1220">
        <v>403</v>
      </c>
      <c r="C1220">
        <v>0.73733375429180315</v>
      </c>
      <c r="D1220">
        <v>0.26266624570819685</v>
      </c>
    </row>
    <row r="1221" spans="1:4" x14ac:dyDescent="0.2">
      <c r="A1221">
        <v>2002</v>
      </c>
      <c r="B1221">
        <v>403</v>
      </c>
      <c r="C1221">
        <v>0.76956449428591811</v>
      </c>
      <c r="D1221">
        <v>0.23043550571408189</v>
      </c>
    </row>
    <row r="1222" spans="1:4" x14ac:dyDescent="0.2">
      <c r="A1222">
        <v>2001</v>
      </c>
      <c r="B1222">
        <v>403</v>
      </c>
      <c r="C1222">
        <v>0.6934397163120567</v>
      </c>
      <c r="D1222">
        <v>0.3065602836879433</v>
      </c>
    </row>
    <row r="1223" spans="1:4" x14ac:dyDescent="0.2">
      <c r="A1223">
        <v>2000</v>
      </c>
      <c r="B1223">
        <v>403</v>
      </c>
      <c r="C1223">
        <v>0.65019059720457439</v>
      </c>
      <c r="D1223">
        <v>0.34980940279542561</v>
      </c>
    </row>
    <row r="1224" spans="1:4" x14ac:dyDescent="0.2">
      <c r="A1224">
        <v>1999</v>
      </c>
      <c r="B1224">
        <v>403</v>
      </c>
      <c r="C1224">
        <v>0.57977740942457978</v>
      </c>
      <c r="D1224">
        <v>0.42022259057542022</v>
      </c>
    </row>
    <row r="1225" spans="1:4" x14ac:dyDescent="0.2">
      <c r="A1225">
        <v>1998</v>
      </c>
      <c r="B1225">
        <v>403</v>
      </c>
      <c r="C1225">
        <v>0.73698811096433292</v>
      </c>
      <c r="D1225">
        <v>0.26301188903566708</v>
      </c>
    </row>
    <row r="1226" spans="1:4" x14ac:dyDescent="0.2">
      <c r="A1226">
        <v>1997</v>
      </c>
      <c r="B1226">
        <v>403</v>
      </c>
      <c r="C1226">
        <v>0.69055891238670697</v>
      </c>
      <c r="D1226">
        <v>0.30944108761329303</v>
      </c>
    </row>
    <row r="1227" spans="1:4" x14ac:dyDescent="0.2">
      <c r="A1227">
        <v>2021</v>
      </c>
      <c r="B1227">
        <v>404</v>
      </c>
      <c r="C1227">
        <v>0.49863166713208595</v>
      </c>
      <c r="D1227">
        <v>0.50136833286791405</v>
      </c>
    </row>
    <row r="1228" spans="1:4" x14ac:dyDescent="0.2">
      <c r="A1228">
        <v>2020</v>
      </c>
      <c r="B1228">
        <v>404</v>
      </c>
      <c r="C1228">
        <v>0.52992327365728897</v>
      </c>
      <c r="D1228">
        <v>0.47007672634271103</v>
      </c>
    </row>
    <row r="1229" spans="1:4" x14ac:dyDescent="0.2">
      <c r="A1229">
        <v>2019</v>
      </c>
      <c r="B1229">
        <v>404</v>
      </c>
      <c r="C1229">
        <v>0.50705771050141912</v>
      </c>
      <c r="D1229">
        <v>0.49294228949858088</v>
      </c>
    </row>
    <row r="1230" spans="1:4" x14ac:dyDescent="0.2">
      <c r="A1230">
        <v>2018</v>
      </c>
      <c r="B1230">
        <v>404</v>
      </c>
      <c r="C1230">
        <v>0.63142280475646229</v>
      </c>
      <c r="D1230">
        <v>0.36857719524353771</v>
      </c>
    </row>
    <row r="1231" spans="1:4" x14ac:dyDescent="0.2">
      <c r="A1231">
        <v>2017</v>
      </c>
      <c r="B1231">
        <v>404</v>
      </c>
      <c r="C1231">
        <v>0.55851414887714268</v>
      </c>
      <c r="D1231">
        <v>0.44148585112285732</v>
      </c>
    </row>
    <row r="1232" spans="1:4" x14ac:dyDescent="0.2">
      <c r="A1232">
        <v>2016</v>
      </c>
      <c r="B1232">
        <v>404</v>
      </c>
      <c r="C1232">
        <v>0.40707816636477634</v>
      </c>
      <c r="D1232">
        <v>0.59292183363522366</v>
      </c>
    </row>
    <row r="1233" spans="1:4" x14ac:dyDescent="0.2">
      <c r="A1233">
        <v>2015</v>
      </c>
      <c r="B1233">
        <v>404</v>
      </c>
      <c r="C1233">
        <v>0.47130259623992837</v>
      </c>
      <c r="D1233">
        <v>0.52869740376007157</v>
      </c>
    </row>
    <row r="1234" spans="1:4" x14ac:dyDescent="0.2">
      <c r="A1234">
        <v>2014</v>
      </c>
      <c r="B1234">
        <v>404</v>
      </c>
      <c r="C1234">
        <v>0.45655377892541466</v>
      </c>
      <c r="D1234">
        <v>0.5434462210745854</v>
      </c>
    </row>
    <row r="1235" spans="1:4" x14ac:dyDescent="0.2">
      <c r="A1235">
        <v>2013</v>
      </c>
      <c r="B1235">
        <v>404</v>
      </c>
      <c r="C1235">
        <v>0.49254530880369124</v>
      </c>
      <c r="D1235">
        <v>0.5074546911963087</v>
      </c>
    </row>
    <row r="1236" spans="1:4" x14ac:dyDescent="0.2">
      <c r="A1236">
        <v>2012</v>
      </c>
      <c r="B1236">
        <v>404</v>
      </c>
      <c r="C1236">
        <v>0.47252894531104572</v>
      </c>
      <c r="D1236">
        <v>0.52747105468895428</v>
      </c>
    </row>
    <row r="1237" spans="1:4" x14ac:dyDescent="0.2">
      <c r="A1237">
        <v>2011</v>
      </c>
      <c r="B1237">
        <v>404</v>
      </c>
      <c r="C1237">
        <v>0.46263257710967159</v>
      </c>
      <c r="D1237">
        <v>0.53736742289032846</v>
      </c>
    </row>
    <row r="1238" spans="1:4" x14ac:dyDescent="0.2">
      <c r="A1238">
        <v>2010</v>
      </c>
      <c r="B1238">
        <v>404</v>
      </c>
      <c r="C1238">
        <v>0.54676142116346305</v>
      </c>
      <c r="D1238">
        <v>0.45323857883653695</v>
      </c>
    </row>
    <row r="1239" spans="1:4" x14ac:dyDescent="0.2">
      <c r="A1239">
        <v>2009</v>
      </c>
      <c r="B1239">
        <v>404</v>
      </c>
      <c r="C1239">
        <v>0.58294599288727156</v>
      </c>
      <c r="D1239">
        <v>0.41705400711272844</v>
      </c>
    </row>
    <row r="1240" spans="1:4" x14ac:dyDescent="0.2">
      <c r="A1240">
        <v>2008</v>
      </c>
      <c r="B1240">
        <v>404</v>
      </c>
      <c r="C1240">
        <v>0.62117621539546097</v>
      </c>
      <c r="D1240">
        <v>0.37882378460453903</v>
      </c>
    </row>
    <row r="1241" spans="1:4" x14ac:dyDescent="0.2">
      <c r="A1241">
        <v>2007</v>
      </c>
      <c r="B1241">
        <v>404</v>
      </c>
      <c r="C1241">
        <v>0.62924880814328055</v>
      </c>
      <c r="D1241">
        <v>0.37075119185671945</v>
      </c>
    </row>
    <row r="1242" spans="1:4" x14ac:dyDescent="0.2">
      <c r="A1242">
        <v>2006</v>
      </c>
      <c r="B1242">
        <v>404</v>
      </c>
      <c r="C1242">
        <v>0.45694670013288063</v>
      </c>
      <c r="D1242">
        <v>0.54305329986711937</v>
      </c>
    </row>
    <row r="1243" spans="1:4" x14ac:dyDescent="0.2">
      <c r="A1243">
        <v>2005</v>
      </c>
      <c r="B1243">
        <v>404</v>
      </c>
      <c r="C1243">
        <v>0.46376582278481016</v>
      </c>
      <c r="D1243">
        <v>0.53623417721518984</v>
      </c>
    </row>
    <row r="1244" spans="1:4" x14ac:dyDescent="0.2">
      <c r="A1244">
        <v>2004</v>
      </c>
      <c r="B1244">
        <v>404</v>
      </c>
      <c r="C1244">
        <v>0.55514767932489451</v>
      </c>
      <c r="D1244">
        <v>0.44485232067510549</v>
      </c>
    </row>
    <row r="1245" spans="1:4" x14ac:dyDescent="0.2">
      <c r="A1245">
        <v>2003</v>
      </c>
      <c r="B1245">
        <v>404</v>
      </c>
      <c r="C1245">
        <v>0.53746233679276867</v>
      </c>
      <c r="D1245">
        <v>0.46253766320723133</v>
      </c>
    </row>
    <row r="1246" spans="1:4" x14ac:dyDescent="0.2">
      <c r="A1246">
        <v>2002</v>
      </c>
      <c r="B1246">
        <v>404</v>
      </c>
      <c r="C1246">
        <v>0.68944433762737933</v>
      </c>
      <c r="D1246">
        <v>0.31055566237262067</v>
      </c>
    </row>
    <row r="1247" spans="1:4" x14ac:dyDescent="0.2">
      <c r="A1247">
        <v>2001</v>
      </c>
      <c r="B1247">
        <v>404</v>
      </c>
      <c r="C1247">
        <v>0.63901328273244784</v>
      </c>
      <c r="D1247">
        <v>0.36098671726755216</v>
      </c>
    </row>
    <row r="1248" spans="1:4" x14ac:dyDescent="0.2">
      <c r="A1248">
        <v>2000</v>
      </c>
      <c r="B1248">
        <v>404</v>
      </c>
      <c r="C1248">
        <v>0.5490310786106033</v>
      </c>
      <c r="D1248">
        <v>0.4509689213893967</v>
      </c>
    </row>
    <row r="1249" spans="1:4" x14ac:dyDescent="0.2">
      <c r="A1249">
        <v>1999</v>
      </c>
      <c r="B1249">
        <v>404</v>
      </c>
      <c r="C1249">
        <v>0.62861085556577734</v>
      </c>
      <c r="D1249">
        <v>0.37138914443422266</v>
      </c>
    </row>
    <row r="1250" spans="1:4" x14ac:dyDescent="0.2">
      <c r="A1250">
        <v>1998</v>
      </c>
      <c r="B1250">
        <v>404</v>
      </c>
      <c r="C1250">
        <v>0.65987118454214522</v>
      </c>
      <c r="D1250">
        <v>0.34012881545785478</v>
      </c>
    </row>
    <row r="1251" spans="1:4" x14ac:dyDescent="0.2">
      <c r="A1251">
        <v>1997</v>
      </c>
      <c r="B1251">
        <v>404</v>
      </c>
      <c r="C1251">
        <v>0.56253229974160202</v>
      </c>
      <c r="D1251">
        <v>0.43746770025839798</v>
      </c>
    </row>
    <row r="1252" spans="1:4" x14ac:dyDescent="0.2">
      <c r="A1252">
        <v>2021</v>
      </c>
      <c r="B1252">
        <v>405</v>
      </c>
      <c r="C1252">
        <v>0.61241015812170585</v>
      </c>
      <c r="D1252">
        <v>0.38758984187829415</v>
      </c>
    </row>
    <row r="1253" spans="1:4" x14ac:dyDescent="0.2">
      <c r="A1253">
        <v>2020</v>
      </c>
      <c r="B1253">
        <v>405</v>
      </c>
      <c r="C1253">
        <v>0.6954392922513728</v>
      </c>
      <c r="D1253">
        <v>0.3045607077486272</v>
      </c>
    </row>
    <row r="1254" spans="1:4" x14ac:dyDescent="0.2">
      <c r="A1254">
        <v>2019</v>
      </c>
      <c r="B1254">
        <v>405</v>
      </c>
      <c r="C1254">
        <v>0.23201657816345034</v>
      </c>
      <c r="D1254">
        <v>0.76798342183654966</v>
      </c>
    </row>
    <row r="1255" spans="1:4" x14ac:dyDescent="0.2">
      <c r="A1255">
        <v>2018</v>
      </c>
      <c r="B1255">
        <v>405</v>
      </c>
      <c r="C1255">
        <v>0.56162424935659139</v>
      </c>
      <c r="D1255">
        <v>0.43837575064340861</v>
      </c>
    </row>
    <row r="1256" spans="1:4" x14ac:dyDescent="0.2">
      <c r="A1256">
        <v>2017</v>
      </c>
      <c r="B1256">
        <v>405</v>
      </c>
      <c r="C1256">
        <v>0.55217885562713143</v>
      </c>
      <c r="D1256">
        <v>0.44782114437286857</v>
      </c>
    </row>
    <row r="1257" spans="1:4" x14ac:dyDescent="0.2">
      <c r="A1257">
        <v>2016</v>
      </c>
      <c r="B1257">
        <v>405</v>
      </c>
      <c r="C1257">
        <v>0.59667292728736254</v>
      </c>
      <c r="D1257">
        <v>0.40332707271263746</v>
      </c>
    </row>
    <row r="1258" spans="1:4" x14ac:dyDescent="0.2">
      <c r="A1258">
        <v>2015</v>
      </c>
      <c r="B1258">
        <v>405</v>
      </c>
      <c r="C1258">
        <v>0.61123933768188665</v>
      </c>
      <c r="D1258">
        <v>0.38876066231811335</v>
      </c>
    </row>
    <row r="1259" spans="1:4" x14ac:dyDescent="0.2">
      <c r="A1259">
        <v>2014</v>
      </c>
      <c r="B1259">
        <v>405</v>
      </c>
      <c r="C1259">
        <v>0.63740424783023508</v>
      </c>
      <c r="D1259">
        <v>0.36259575216976492</v>
      </c>
    </row>
    <row r="1260" spans="1:4" x14ac:dyDescent="0.2">
      <c r="A1260">
        <v>2013</v>
      </c>
      <c r="B1260">
        <v>405</v>
      </c>
      <c r="C1260">
        <v>0.50387722132471735</v>
      </c>
      <c r="D1260">
        <v>0.49612277867528265</v>
      </c>
    </row>
    <row r="1261" spans="1:4" x14ac:dyDescent="0.2">
      <c r="A1261">
        <v>2012</v>
      </c>
      <c r="B1261">
        <v>405</v>
      </c>
      <c r="C1261">
        <v>0.63550998381003776</v>
      </c>
      <c r="D1261">
        <v>0.36449001618996224</v>
      </c>
    </row>
    <row r="1262" spans="1:4" x14ac:dyDescent="0.2">
      <c r="A1262">
        <v>2011</v>
      </c>
      <c r="B1262">
        <v>405</v>
      </c>
      <c r="C1262">
        <v>0.72087163404347354</v>
      </c>
      <c r="D1262">
        <v>0.27912836595652646</v>
      </c>
    </row>
    <row r="1263" spans="1:4" x14ac:dyDescent="0.2">
      <c r="A1263">
        <v>2010</v>
      </c>
      <c r="B1263">
        <v>405</v>
      </c>
      <c r="C1263">
        <v>0.65612666360715932</v>
      </c>
      <c r="D1263">
        <v>0.34387333639284068</v>
      </c>
    </row>
    <row r="1264" spans="1:4" x14ac:dyDescent="0.2">
      <c r="A1264">
        <v>2009</v>
      </c>
      <c r="B1264">
        <v>405</v>
      </c>
      <c r="C1264">
        <v>0.71179590805759041</v>
      </c>
      <c r="D1264">
        <v>0.28820409194240959</v>
      </c>
    </row>
    <row r="1265" spans="1:4" x14ac:dyDescent="0.2">
      <c r="A1265">
        <v>2008</v>
      </c>
      <c r="B1265">
        <v>405</v>
      </c>
      <c r="C1265">
        <v>0.62393250334396544</v>
      </c>
      <c r="D1265">
        <v>0.37606749665603456</v>
      </c>
    </row>
    <row r="1266" spans="1:4" x14ac:dyDescent="0.2">
      <c r="A1266">
        <v>2007</v>
      </c>
      <c r="B1266">
        <v>405</v>
      </c>
      <c r="C1266">
        <v>0.5980338612779903</v>
      </c>
      <c r="D1266">
        <v>0.4019661387220097</v>
      </c>
    </row>
    <row r="1267" spans="1:4" x14ac:dyDescent="0.2">
      <c r="A1267">
        <v>2006</v>
      </c>
      <c r="B1267">
        <v>405</v>
      </c>
      <c r="C1267">
        <v>0.59628770301624134</v>
      </c>
      <c r="D1267">
        <v>0.40371229698375866</v>
      </c>
    </row>
    <row r="1268" spans="1:4" x14ac:dyDescent="0.2">
      <c r="A1268">
        <v>2005</v>
      </c>
      <c r="B1268">
        <v>405</v>
      </c>
      <c r="C1268">
        <v>0.49694886119467124</v>
      </c>
      <c r="D1268">
        <v>0.5030511388053287</v>
      </c>
    </row>
    <row r="1269" spans="1:4" x14ac:dyDescent="0.2">
      <c r="A1269">
        <v>2004</v>
      </c>
      <c r="B1269">
        <v>405</v>
      </c>
      <c r="C1269">
        <v>0.69456384323640963</v>
      </c>
      <c r="D1269">
        <v>0.30543615676359037</v>
      </c>
    </row>
    <row r="1270" spans="1:4" x14ac:dyDescent="0.2">
      <c r="A1270">
        <v>2003</v>
      </c>
      <c r="B1270">
        <v>405</v>
      </c>
      <c r="C1270" t="s">
        <v>25</v>
      </c>
      <c r="D1270" t="s">
        <v>25</v>
      </c>
    </row>
    <row r="1271" spans="1:4" x14ac:dyDescent="0.2">
      <c r="A1271">
        <v>2002</v>
      </c>
      <c r="B1271">
        <v>405</v>
      </c>
      <c r="C1271">
        <v>0.70662824207492803</v>
      </c>
      <c r="D1271">
        <v>0.29337175792507197</v>
      </c>
    </row>
    <row r="1272" spans="1:4" x14ac:dyDescent="0.2">
      <c r="A1272">
        <v>2001</v>
      </c>
      <c r="B1272">
        <v>405</v>
      </c>
      <c r="C1272">
        <v>0.6944881889763781</v>
      </c>
      <c r="D1272">
        <v>0.3055118110236219</v>
      </c>
    </row>
    <row r="1273" spans="1:4" x14ac:dyDescent="0.2">
      <c r="A1273">
        <v>2000</v>
      </c>
      <c r="B1273">
        <v>405</v>
      </c>
      <c r="C1273">
        <v>0.65889235569422777</v>
      </c>
      <c r="D1273">
        <v>0.34110764430577223</v>
      </c>
    </row>
    <row r="1274" spans="1:4" x14ac:dyDescent="0.2">
      <c r="A1274">
        <v>1999</v>
      </c>
      <c r="B1274">
        <v>405</v>
      </c>
      <c r="C1274">
        <v>0.63555900621118022</v>
      </c>
      <c r="D1274">
        <v>0.36444099378881978</v>
      </c>
    </row>
    <row r="1275" spans="1:4" x14ac:dyDescent="0.2">
      <c r="A1275">
        <v>1998</v>
      </c>
      <c r="B1275">
        <v>405</v>
      </c>
      <c r="C1275">
        <v>0.57334963325183375</v>
      </c>
      <c r="D1275">
        <v>0.42665036674816625</v>
      </c>
    </row>
    <row r="1276" spans="1:4" x14ac:dyDescent="0.2">
      <c r="A1276">
        <v>1997</v>
      </c>
      <c r="B1276">
        <v>405</v>
      </c>
      <c r="C1276">
        <v>0.61394335511982578</v>
      </c>
      <c r="D1276">
        <v>0.38605664488017422</v>
      </c>
    </row>
    <row r="1277" spans="1:4" x14ac:dyDescent="0.2">
      <c r="A1277">
        <v>2021</v>
      </c>
      <c r="B1277">
        <v>406</v>
      </c>
      <c r="C1277" t="s">
        <v>25</v>
      </c>
      <c r="D1277" t="s">
        <v>25</v>
      </c>
    </row>
    <row r="1278" spans="1:4" x14ac:dyDescent="0.2">
      <c r="A1278">
        <v>2020</v>
      </c>
      <c r="B1278">
        <v>406</v>
      </c>
      <c r="C1278">
        <v>0.75610175975516458</v>
      </c>
      <c r="D1278">
        <v>0.24389824024483542</v>
      </c>
    </row>
    <row r="1279" spans="1:4" x14ac:dyDescent="0.2">
      <c r="A1279">
        <v>2019</v>
      </c>
      <c r="B1279">
        <v>406</v>
      </c>
      <c r="C1279">
        <v>0.77535380677021393</v>
      </c>
      <c r="D1279">
        <v>0.22464619322978607</v>
      </c>
    </row>
    <row r="1280" spans="1:4" x14ac:dyDescent="0.2">
      <c r="A1280">
        <v>2018</v>
      </c>
      <c r="B1280">
        <v>406</v>
      </c>
      <c r="C1280" t="s">
        <v>25</v>
      </c>
      <c r="D1280" t="s">
        <v>25</v>
      </c>
    </row>
    <row r="1281" spans="1:4" x14ac:dyDescent="0.2">
      <c r="A1281">
        <v>2017</v>
      </c>
      <c r="B1281">
        <v>406</v>
      </c>
      <c r="C1281" t="s">
        <v>25</v>
      </c>
      <c r="D1281" t="s">
        <v>25</v>
      </c>
    </row>
    <row r="1282" spans="1:4" x14ac:dyDescent="0.2">
      <c r="A1282">
        <v>2016</v>
      </c>
      <c r="B1282">
        <v>406</v>
      </c>
      <c r="C1282">
        <v>0.77844894899584594</v>
      </c>
      <c r="D1282">
        <v>0.22155105100415406</v>
      </c>
    </row>
    <row r="1283" spans="1:4" x14ac:dyDescent="0.2">
      <c r="A1283">
        <v>2015</v>
      </c>
      <c r="B1283">
        <v>406</v>
      </c>
      <c r="C1283">
        <v>0.64802959273366545</v>
      </c>
      <c r="D1283">
        <v>0.35197040726633455</v>
      </c>
    </row>
    <row r="1284" spans="1:4" x14ac:dyDescent="0.2">
      <c r="A1284">
        <v>2014</v>
      </c>
      <c r="B1284">
        <v>406</v>
      </c>
      <c r="C1284">
        <v>0.45225441866057481</v>
      </c>
      <c r="D1284">
        <v>0.54774558133942519</v>
      </c>
    </row>
    <row r="1285" spans="1:4" x14ac:dyDescent="0.2">
      <c r="A1285">
        <v>2013</v>
      </c>
      <c r="B1285">
        <v>406</v>
      </c>
      <c r="C1285">
        <v>0.74914416005652074</v>
      </c>
      <c r="D1285">
        <v>0.25085583994347926</v>
      </c>
    </row>
    <row r="1286" spans="1:4" x14ac:dyDescent="0.2">
      <c r="A1286">
        <v>2012</v>
      </c>
      <c r="B1286">
        <v>406</v>
      </c>
      <c r="C1286">
        <v>0.71120949986164084</v>
      </c>
      <c r="D1286">
        <v>0.28879050013835916</v>
      </c>
    </row>
    <row r="1287" spans="1:4" x14ac:dyDescent="0.2">
      <c r="A1287">
        <v>2011</v>
      </c>
      <c r="B1287">
        <v>406</v>
      </c>
      <c r="C1287" t="s">
        <v>25</v>
      </c>
      <c r="D1287" t="s">
        <v>25</v>
      </c>
    </row>
    <row r="1288" spans="1:4" x14ac:dyDescent="0.2">
      <c r="A1288">
        <v>2010</v>
      </c>
      <c r="B1288">
        <v>406</v>
      </c>
      <c r="C1288" t="s">
        <v>25</v>
      </c>
      <c r="D1288" t="s">
        <v>25</v>
      </c>
    </row>
    <row r="1289" spans="1:4" x14ac:dyDescent="0.2">
      <c r="A1289">
        <v>2009</v>
      </c>
      <c r="B1289">
        <v>406</v>
      </c>
      <c r="C1289" t="s">
        <v>25</v>
      </c>
      <c r="D1289" t="s">
        <v>25</v>
      </c>
    </row>
    <row r="1290" spans="1:4" x14ac:dyDescent="0.2">
      <c r="A1290">
        <v>2008</v>
      </c>
      <c r="B1290">
        <v>406</v>
      </c>
      <c r="C1290" t="s">
        <v>25</v>
      </c>
      <c r="D1290" t="s">
        <v>25</v>
      </c>
    </row>
    <row r="1291" spans="1:4" x14ac:dyDescent="0.2">
      <c r="A1291">
        <v>2007</v>
      </c>
      <c r="B1291">
        <v>406</v>
      </c>
      <c r="C1291" t="s">
        <v>25</v>
      </c>
      <c r="D1291" t="s">
        <v>25</v>
      </c>
    </row>
    <row r="1292" spans="1:4" x14ac:dyDescent="0.2">
      <c r="A1292">
        <v>2006</v>
      </c>
      <c r="B1292">
        <v>406</v>
      </c>
      <c r="C1292" t="s">
        <v>25</v>
      </c>
      <c r="D1292" t="s">
        <v>25</v>
      </c>
    </row>
    <row r="1293" spans="1:4" x14ac:dyDescent="0.2">
      <c r="A1293">
        <v>2005</v>
      </c>
      <c r="B1293">
        <v>406</v>
      </c>
      <c r="C1293" t="s">
        <v>25</v>
      </c>
      <c r="D1293" t="s">
        <v>25</v>
      </c>
    </row>
    <row r="1294" spans="1:4" x14ac:dyDescent="0.2">
      <c r="A1294">
        <v>2004</v>
      </c>
      <c r="B1294">
        <v>406</v>
      </c>
      <c r="C1294" t="s">
        <v>25</v>
      </c>
      <c r="D1294" t="s">
        <v>25</v>
      </c>
    </row>
    <row r="1295" spans="1:4" x14ac:dyDescent="0.2">
      <c r="A1295">
        <v>2003</v>
      </c>
      <c r="B1295">
        <v>406</v>
      </c>
      <c r="C1295" t="s">
        <v>25</v>
      </c>
      <c r="D1295" t="s">
        <v>25</v>
      </c>
    </row>
    <row r="1296" spans="1:4" x14ac:dyDescent="0.2">
      <c r="A1296">
        <v>2002</v>
      </c>
      <c r="B1296">
        <v>406</v>
      </c>
      <c r="C1296" t="s">
        <v>25</v>
      </c>
      <c r="D1296" t="s">
        <v>25</v>
      </c>
    </row>
    <row r="1297" spans="1:4" x14ac:dyDescent="0.2">
      <c r="A1297">
        <v>2001</v>
      </c>
      <c r="B1297">
        <v>406</v>
      </c>
      <c r="C1297" t="s">
        <v>25</v>
      </c>
      <c r="D1297" t="s">
        <v>25</v>
      </c>
    </row>
    <row r="1298" spans="1:4" x14ac:dyDescent="0.2">
      <c r="A1298">
        <v>2000</v>
      </c>
      <c r="B1298">
        <v>406</v>
      </c>
      <c r="C1298" t="s">
        <v>25</v>
      </c>
      <c r="D1298" t="s">
        <v>25</v>
      </c>
    </row>
    <row r="1299" spans="1:4" x14ac:dyDescent="0.2">
      <c r="A1299">
        <v>1999</v>
      </c>
      <c r="B1299">
        <v>406</v>
      </c>
      <c r="C1299" t="s">
        <v>25</v>
      </c>
      <c r="D1299" t="s">
        <v>25</v>
      </c>
    </row>
    <row r="1300" spans="1:4" x14ac:dyDescent="0.2">
      <c r="A1300">
        <v>1998</v>
      </c>
      <c r="B1300">
        <v>406</v>
      </c>
      <c r="C1300" t="s">
        <v>25</v>
      </c>
      <c r="D1300" t="s">
        <v>25</v>
      </c>
    </row>
    <row r="1301" spans="1:4" x14ac:dyDescent="0.2">
      <c r="A1301">
        <v>1997</v>
      </c>
      <c r="B1301">
        <v>406</v>
      </c>
      <c r="C1301" t="s">
        <v>25</v>
      </c>
      <c r="D1301" t="s">
        <v>25</v>
      </c>
    </row>
    <row r="1302" spans="1:4" x14ac:dyDescent="0.2">
      <c r="A1302">
        <v>2021</v>
      </c>
      <c r="B1302">
        <v>407</v>
      </c>
      <c r="C1302">
        <v>0.76126338021408357</v>
      </c>
      <c r="D1302">
        <v>0.23873661978591643</v>
      </c>
    </row>
    <row r="1303" spans="1:4" x14ac:dyDescent="0.2">
      <c r="A1303">
        <v>2020</v>
      </c>
      <c r="B1303">
        <v>407</v>
      </c>
      <c r="C1303">
        <v>0.75834965144513211</v>
      </c>
      <c r="D1303">
        <v>0.24165034855486789</v>
      </c>
    </row>
    <row r="1304" spans="1:4" x14ac:dyDescent="0.2">
      <c r="A1304">
        <v>2019</v>
      </c>
      <c r="B1304">
        <v>407</v>
      </c>
      <c r="C1304">
        <v>0.74324122479462285</v>
      </c>
      <c r="D1304">
        <v>0.25675877520537715</v>
      </c>
    </row>
    <row r="1305" spans="1:4" x14ac:dyDescent="0.2">
      <c r="A1305">
        <v>2018</v>
      </c>
      <c r="B1305">
        <v>407</v>
      </c>
      <c r="C1305">
        <v>0.78872118551042802</v>
      </c>
      <c r="D1305">
        <v>0.21127881448957198</v>
      </c>
    </row>
    <row r="1306" spans="1:4" x14ac:dyDescent="0.2">
      <c r="A1306">
        <v>2017</v>
      </c>
      <c r="B1306">
        <v>407</v>
      </c>
      <c r="C1306">
        <v>0.75500848896434636</v>
      </c>
      <c r="D1306">
        <v>0.24499151103565364</v>
      </c>
    </row>
    <row r="1307" spans="1:4" x14ac:dyDescent="0.2">
      <c r="A1307">
        <v>2016</v>
      </c>
      <c r="B1307">
        <v>407</v>
      </c>
      <c r="C1307">
        <v>0.75164929622864518</v>
      </c>
      <c r="D1307">
        <v>0.24835070377135482</v>
      </c>
    </row>
    <row r="1308" spans="1:4" x14ac:dyDescent="0.2">
      <c r="A1308">
        <v>2015</v>
      </c>
      <c r="B1308">
        <v>407</v>
      </c>
      <c r="C1308">
        <v>0.74441342200111693</v>
      </c>
      <c r="D1308">
        <v>0.25558657799888307</v>
      </c>
    </row>
    <row r="1309" spans="1:4" x14ac:dyDescent="0.2">
      <c r="A1309">
        <v>2014</v>
      </c>
      <c r="B1309">
        <v>407</v>
      </c>
      <c r="C1309">
        <v>0.77517823824020426</v>
      </c>
      <c r="D1309">
        <v>0.22482176175979574</v>
      </c>
    </row>
    <row r="1310" spans="1:4" x14ac:dyDescent="0.2">
      <c r="A1310">
        <v>2013</v>
      </c>
      <c r="B1310">
        <v>407</v>
      </c>
      <c r="C1310">
        <v>0.7805479851041256</v>
      </c>
      <c r="D1310">
        <v>0.2194520148958744</v>
      </c>
    </row>
    <row r="1311" spans="1:4" x14ac:dyDescent="0.2">
      <c r="A1311">
        <v>2012</v>
      </c>
      <c r="B1311">
        <v>407</v>
      </c>
      <c r="C1311">
        <v>0.73845403124377151</v>
      </c>
      <c r="D1311">
        <v>0.26154596875622849</v>
      </c>
    </row>
    <row r="1312" spans="1:4" x14ac:dyDescent="0.2">
      <c r="A1312">
        <v>2011</v>
      </c>
      <c r="B1312">
        <v>407</v>
      </c>
      <c r="C1312">
        <v>0.76175924362654057</v>
      </c>
      <c r="D1312">
        <v>0.23824075637345943</v>
      </c>
    </row>
    <row r="1313" spans="1:4" x14ac:dyDescent="0.2">
      <c r="A1313">
        <v>2010</v>
      </c>
      <c r="B1313">
        <v>407</v>
      </c>
      <c r="C1313" t="s">
        <v>25</v>
      </c>
      <c r="D1313" t="s">
        <v>25</v>
      </c>
    </row>
    <row r="1314" spans="1:4" x14ac:dyDescent="0.2">
      <c r="A1314">
        <v>2009</v>
      </c>
      <c r="B1314">
        <v>407</v>
      </c>
      <c r="C1314">
        <v>0.78469604647867364</v>
      </c>
      <c r="D1314">
        <v>0.21530395352132636</v>
      </c>
    </row>
    <row r="1315" spans="1:4" x14ac:dyDescent="0.2">
      <c r="A1315">
        <v>2008</v>
      </c>
      <c r="B1315">
        <v>407</v>
      </c>
      <c r="C1315">
        <v>0.77804525758305243</v>
      </c>
      <c r="D1315">
        <v>0.22195474241694757</v>
      </c>
    </row>
    <row r="1316" spans="1:4" x14ac:dyDescent="0.2">
      <c r="A1316">
        <v>2007</v>
      </c>
      <c r="B1316">
        <v>407</v>
      </c>
      <c r="C1316" t="s">
        <v>25</v>
      </c>
      <c r="D1316" t="s">
        <v>25</v>
      </c>
    </row>
    <row r="1317" spans="1:4" x14ac:dyDescent="0.2">
      <c r="A1317">
        <v>2006</v>
      </c>
      <c r="B1317">
        <v>407</v>
      </c>
      <c r="C1317">
        <v>0.79234459528427081</v>
      </c>
      <c r="D1317">
        <v>0.20765540471572919</v>
      </c>
    </row>
    <row r="1318" spans="1:4" x14ac:dyDescent="0.2">
      <c r="A1318">
        <v>2005</v>
      </c>
      <c r="B1318">
        <v>407</v>
      </c>
      <c r="C1318">
        <v>0.78515398143225235</v>
      </c>
      <c r="D1318">
        <v>0.21484601856774765</v>
      </c>
    </row>
    <row r="1319" spans="1:4" x14ac:dyDescent="0.2">
      <c r="A1319">
        <v>2004</v>
      </c>
      <c r="B1319">
        <v>407</v>
      </c>
      <c r="C1319">
        <v>0.78581706063720458</v>
      </c>
      <c r="D1319">
        <v>0.21418293936279542</v>
      </c>
    </row>
    <row r="1320" spans="1:4" x14ac:dyDescent="0.2">
      <c r="A1320">
        <v>2003</v>
      </c>
      <c r="B1320">
        <v>407</v>
      </c>
      <c r="C1320" t="s">
        <v>25</v>
      </c>
      <c r="D1320" t="s">
        <v>25</v>
      </c>
    </row>
    <row r="1321" spans="1:4" x14ac:dyDescent="0.2">
      <c r="A1321">
        <v>2002</v>
      </c>
      <c r="B1321">
        <v>407</v>
      </c>
      <c r="C1321" t="s">
        <v>25</v>
      </c>
      <c r="D1321" t="s">
        <v>25</v>
      </c>
    </row>
    <row r="1322" spans="1:4" x14ac:dyDescent="0.2">
      <c r="A1322">
        <v>2001</v>
      </c>
      <c r="B1322">
        <v>407</v>
      </c>
      <c r="C1322" t="s">
        <v>25</v>
      </c>
      <c r="D1322" t="s">
        <v>25</v>
      </c>
    </row>
    <row r="1323" spans="1:4" x14ac:dyDescent="0.2">
      <c r="A1323">
        <v>2000</v>
      </c>
      <c r="B1323">
        <v>407</v>
      </c>
      <c r="C1323" t="s">
        <v>25</v>
      </c>
      <c r="D1323" t="s">
        <v>25</v>
      </c>
    </row>
    <row r="1324" spans="1:4" x14ac:dyDescent="0.2">
      <c r="A1324">
        <v>1999</v>
      </c>
      <c r="B1324">
        <v>407</v>
      </c>
      <c r="C1324" t="s">
        <v>25</v>
      </c>
      <c r="D1324" t="s">
        <v>25</v>
      </c>
    </row>
    <row r="1325" spans="1:4" x14ac:dyDescent="0.2">
      <c r="A1325">
        <v>1998</v>
      </c>
      <c r="B1325">
        <v>407</v>
      </c>
      <c r="C1325">
        <v>0.78433931484502439</v>
      </c>
      <c r="D1325">
        <v>0.21566068515497561</v>
      </c>
    </row>
    <row r="1326" spans="1:4" x14ac:dyDescent="0.2">
      <c r="A1326">
        <v>1997</v>
      </c>
      <c r="B1326">
        <v>407</v>
      </c>
      <c r="C1326">
        <v>0.73070577451879015</v>
      </c>
      <c r="D1326">
        <v>0.26929422548120985</v>
      </c>
    </row>
    <row r="1327" spans="1:4" x14ac:dyDescent="0.2">
      <c r="A1327">
        <v>2021</v>
      </c>
      <c r="B1327">
        <v>408</v>
      </c>
      <c r="C1327" t="s">
        <v>25</v>
      </c>
      <c r="D1327" t="s">
        <v>25</v>
      </c>
    </row>
    <row r="1328" spans="1:4" x14ac:dyDescent="0.2">
      <c r="A1328">
        <v>2020</v>
      </c>
      <c r="B1328">
        <v>408</v>
      </c>
      <c r="C1328">
        <v>0.50341167551175126</v>
      </c>
      <c r="D1328">
        <v>0.49658832448824874</v>
      </c>
    </row>
    <row r="1329" spans="1:4" x14ac:dyDescent="0.2">
      <c r="A1329">
        <v>2019</v>
      </c>
      <c r="B1329">
        <v>408</v>
      </c>
      <c r="C1329">
        <v>0.67740189445196208</v>
      </c>
      <c r="D1329">
        <v>0.32259810554803792</v>
      </c>
    </row>
    <row r="1330" spans="1:4" x14ac:dyDescent="0.2">
      <c r="A1330">
        <v>2018</v>
      </c>
      <c r="B1330">
        <v>408</v>
      </c>
      <c r="C1330">
        <v>0.40081632653061228</v>
      </c>
      <c r="D1330">
        <v>0.59918367346938772</v>
      </c>
    </row>
    <row r="1331" spans="1:4" x14ac:dyDescent="0.2">
      <c r="A1331">
        <v>2017</v>
      </c>
      <c r="B1331">
        <v>408</v>
      </c>
      <c r="C1331">
        <v>0.53604060913705587</v>
      </c>
      <c r="D1331">
        <v>0.46395939086294413</v>
      </c>
    </row>
    <row r="1332" spans="1:4" x14ac:dyDescent="0.2">
      <c r="A1332">
        <v>2016</v>
      </c>
      <c r="B1332">
        <v>408</v>
      </c>
      <c r="C1332">
        <v>0.57685950413223142</v>
      </c>
      <c r="D1332">
        <v>0.42314049586776858</v>
      </c>
    </row>
    <row r="1333" spans="1:4" x14ac:dyDescent="0.2">
      <c r="A1333">
        <v>2015</v>
      </c>
      <c r="B1333">
        <v>408</v>
      </c>
      <c r="C1333">
        <v>0.3886016451233843</v>
      </c>
      <c r="D1333">
        <v>0.61139835487661576</v>
      </c>
    </row>
    <row r="1334" spans="1:4" x14ac:dyDescent="0.2">
      <c r="A1334">
        <v>2014</v>
      </c>
      <c r="B1334">
        <v>408</v>
      </c>
      <c r="C1334">
        <v>0.37665748782037706</v>
      </c>
      <c r="D1334">
        <v>0.623342512179623</v>
      </c>
    </row>
    <row r="1335" spans="1:4" x14ac:dyDescent="0.2">
      <c r="A1335">
        <v>2013</v>
      </c>
      <c r="B1335">
        <v>408</v>
      </c>
      <c r="C1335">
        <v>0.50044926004228329</v>
      </c>
      <c r="D1335">
        <v>0.49955073995771671</v>
      </c>
    </row>
    <row r="1336" spans="1:4" x14ac:dyDescent="0.2">
      <c r="A1336">
        <v>2012</v>
      </c>
      <c r="B1336">
        <v>408</v>
      </c>
      <c r="C1336">
        <v>0.68202523349172539</v>
      </c>
      <c r="D1336">
        <v>0.31797476650827461</v>
      </c>
    </row>
    <row r="1337" spans="1:4" x14ac:dyDescent="0.2">
      <c r="A1337">
        <v>2011</v>
      </c>
      <c r="B1337">
        <v>408</v>
      </c>
      <c r="C1337">
        <v>0.60090293453724608</v>
      </c>
      <c r="D1337">
        <v>0.39909706546275392</v>
      </c>
    </row>
    <row r="1338" spans="1:4" x14ac:dyDescent="0.2">
      <c r="A1338">
        <v>2010</v>
      </c>
      <c r="B1338">
        <v>408</v>
      </c>
      <c r="C1338">
        <v>0.72786224014892953</v>
      </c>
      <c r="D1338">
        <v>0.27213775985107047</v>
      </c>
    </row>
    <row r="1339" spans="1:4" x14ac:dyDescent="0.2">
      <c r="A1339">
        <v>2009</v>
      </c>
      <c r="B1339">
        <v>408</v>
      </c>
      <c r="C1339">
        <v>0.56721571740424681</v>
      </c>
      <c r="D1339">
        <v>0.43278428259575319</v>
      </c>
    </row>
    <row r="1340" spans="1:4" x14ac:dyDescent="0.2">
      <c r="A1340">
        <v>2008</v>
      </c>
      <c r="B1340">
        <v>408</v>
      </c>
      <c r="C1340" t="s">
        <v>25</v>
      </c>
      <c r="D1340" t="s">
        <v>25</v>
      </c>
    </row>
    <row r="1341" spans="1:4" x14ac:dyDescent="0.2">
      <c r="A1341">
        <v>2007</v>
      </c>
      <c r="B1341">
        <v>408</v>
      </c>
      <c r="C1341">
        <v>0.69884112149532718</v>
      </c>
      <c r="D1341">
        <v>0.30115887850467282</v>
      </c>
    </row>
    <row r="1342" spans="1:4" x14ac:dyDescent="0.2">
      <c r="A1342">
        <v>2006</v>
      </c>
      <c r="B1342">
        <v>408</v>
      </c>
      <c r="C1342">
        <v>0.67225806451612913</v>
      </c>
      <c r="D1342">
        <v>0.32774193548387087</v>
      </c>
    </row>
    <row r="1343" spans="1:4" x14ac:dyDescent="0.2">
      <c r="A1343">
        <v>2005</v>
      </c>
      <c r="B1343">
        <v>408</v>
      </c>
      <c r="C1343">
        <v>0.67380229025473248</v>
      </c>
      <c r="D1343">
        <v>0.32619770974526752</v>
      </c>
    </row>
    <row r="1344" spans="1:4" x14ac:dyDescent="0.2">
      <c r="A1344">
        <v>2004</v>
      </c>
      <c r="B1344">
        <v>408</v>
      </c>
      <c r="C1344">
        <v>0.67386804657179822</v>
      </c>
      <c r="D1344">
        <v>0.32613195342820178</v>
      </c>
    </row>
    <row r="1345" spans="1:4" x14ac:dyDescent="0.2">
      <c r="A1345">
        <v>2003</v>
      </c>
      <c r="B1345">
        <v>408</v>
      </c>
      <c r="C1345">
        <v>0.74745292658006124</v>
      </c>
      <c r="D1345">
        <v>0.25254707341993876</v>
      </c>
    </row>
    <row r="1346" spans="1:4" x14ac:dyDescent="0.2">
      <c r="A1346">
        <v>2002</v>
      </c>
      <c r="B1346">
        <v>408</v>
      </c>
      <c r="C1346">
        <v>0.69820359281437128</v>
      </c>
      <c r="D1346">
        <v>0.30179640718562872</v>
      </c>
    </row>
    <row r="1347" spans="1:4" x14ac:dyDescent="0.2">
      <c r="A1347">
        <v>2001</v>
      </c>
      <c r="B1347">
        <v>408</v>
      </c>
      <c r="C1347">
        <v>0.56467065868263466</v>
      </c>
      <c r="D1347">
        <v>0.43532934131736534</v>
      </c>
    </row>
    <row r="1348" spans="1:4" x14ac:dyDescent="0.2">
      <c r="A1348">
        <v>2000</v>
      </c>
      <c r="B1348">
        <v>408</v>
      </c>
      <c r="C1348" t="s">
        <v>25</v>
      </c>
      <c r="D1348" t="s">
        <v>25</v>
      </c>
    </row>
    <row r="1349" spans="1:4" x14ac:dyDescent="0.2">
      <c r="A1349">
        <v>1999</v>
      </c>
      <c r="B1349">
        <v>408</v>
      </c>
      <c r="C1349">
        <v>0.58744394618834084</v>
      </c>
      <c r="D1349">
        <v>0.41255605381165916</v>
      </c>
    </row>
    <row r="1350" spans="1:4" x14ac:dyDescent="0.2">
      <c r="A1350">
        <v>1998</v>
      </c>
      <c r="B1350">
        <v>408</v>
      </c>
      <c r="C1350">
        <v>0.72523364485981312</v>
      </c>
      <c r="D1350">
        <v>0.27476635514018688</v>
      </c>
    </row>
    <row r="1351" spans="1:4" x14ac:dyDescent="0.2">
      <c r="A1351">
        <v>1997</v>
      </c>
      <c r="B1351">
        <v>408</v>
      </c>
      <c r="C1351">
        <v>0.58695652173913038</v>
      </c>
      <c r="D1351">
        <v>0.41304347826086962</v>
      </c>
    </row>
    <row r="1352" spans="1:4" x14ac:dyDescent="0.2">
      <c r="A1352">
        <v>2021</v>
      </c>
      <c r="B1352">
        <v>409</v>
      </c>
      <c r="C1352" t="s">
        <v>25</v>
      </c>
      <c r="D1352" t="s">
        <v>25</v>
      </c>
    </row>
    <row r="1353" spans="1:4" x14ac:dyDescent="0.2">
      <c r="A1353">
        <v>2020</v>
      </c>
      <c r="B1353">
        <v>409</v>
      </c>
      <c r="C1353">
        <v>0.7270188503607169</v>
      </c>
      <c r="D1353">
        <v>0.2729811496392831</v>
      </c>
    </row>
    <row r="1354" spans="1:4" x14ac:dyDescent="0.2">
      <c r="A1354">
        <v>2019</v>
      </c>
      <c r="B1354">
        <v>409</v>
      </c>
      <c r="C1354" t="s">
        <v>25</v>
      </c>
      <c r="D1354" t="s">
        <v>25</v>
      </c>
    </row>
    <row r="1355" spans="1:4" x14ac:dyDescent="0.2">
      <c r="A1355">
        <v>2018</v>
      </c>
      <c r="B1355">
        <v>409</v>
      </c>
      <c r="C1355">
        <v>0.72108317214700191</v>
      </c>
      <c r="D1355">
        <v>0.27891682785299809</v>
      </c>
    </row>
    <row r="1356" spans="1:4" x14ac:dyDescent="0.2">
      <c r="A1356">
        <v>2017</v>
      </c>
      <c r="B1356">
        <v>409</v>
      </c>
      <c r="C1356">
        <v>0.56201680672268906</v>
      </c>
      <c r="D1356">
        <v>0.43798319327731094</v>
      </c>
    </row>
    <row r="1357" spans="1:4" x14ac:dyDescent="0.2">
      <c r="A1357">
        <v>2016</v>
      </c>
      <c r="B1357">
        <v>409</v>
      </c>
      <c r="C1357">
        <v>0.64513038850452353</v>
      </c>
      <c r="D1357">
        <v>0.35486961149547647</v>
      </c>
    </row>
    <row r="1358" spans="1:4" x14ac:dyDescent="0.2">
      <c r="A1358">
        <v>2015</v>
      </c>
      <c r="B1358">
        <v>409</v>
      </c>
      <c r="C1358">
        <v>0.60499097774510469</v>
      </c>
      <c r="D1358">
        <v>0.39500902225489531</v>
      </c>
    </row>
    <row r="1359" spans="1:4" x14ac:dyDescent="0.2">
      <c r="A1359">
        <v>2014</v>
      </c>
      <c r="B1359">
        <v>409</v>
      </c>
      <c r="C1359">
        <v>0.68086367485182064</v>
      </c>
      <c r="D1359">
        <v>0.31913632514817936</v>
      </c>
    </row>
    <row r="1360" spans="1:4" x14ac:dyDescent="0.2">
      <c r="A1360">
        <v>2013</v>
      </c>
      <c r="B1360">
        <v>409</v>
      </c>
      <c r="C1360">
        <v>0.65615982241953386</v>
      </c>
      <c r="D1360">
        <v>0.34384017758046614</v>
      </c>
    </row>
    <row r="1361" spans="1:4" x14ac:dyDescent="0.2">
      <c r="A1361">
        <v>2012</v>
      </c>
      <c r="B1361">
        <v>409</v>
      </c>
      <c r="C1361">
        <v>0.74023635340461458</v>
      </c>
      <c r="D1361">
        <v>0.25976364659538542</v>
      </c>
    </row>
    <row r="1362" spans="1:4" x14ac:dyDescent="0.2">
      <c r="A1362">
        <v>2011</v>
      </c>
      <c r="B1362">
        <v>409</v>
      </c>
      <c r="C1362">
        <v>0.78164658379393348</v>
      </c>
      <c r="D1362">
        <v>0.21835341620606652</v>
      </c>
    </row>
    <row r="1363" spans="1:4" x14ac:dyDescent="0.2">
      <c r="A1363">
        <v>2010</v>
      </c>
      <c r="B1363">
        <v>409</v>
      </c>
      <c r="C1363">
        <v>0.67215909090909087</v>
      </c>
      <c r="D1363">
        <v>0.32784090909090913</v>
      </c>
    </row>
    <row r="1364" spans="1:4" x14ac:dyDescent="0.2">
      <c r="A1364">
        <v>2009</v>
      </c>
      <c r="B1364">
        <v>409</v>
      </c>
      <c r="C1364">
        <v>0.73185595567867034</v>
      </c>
      <c r="D1364">
        <v>0.26814404432132966</v>
      </c>
    </row>
    <row r="1365" spans="1:4" x14ac:dyDescent="0.2">
      <c r="A1365">
        <v>2008</v>
      </c>
      <c r="B1365">
        <v>409</v>
      </c>
      <c r="C1365">
        <v>0.75793001742860988</v>
      </c>
      <c r="D1365">
        <v>0.24206998257139012</v>
      </c>
    </row>
    <row r="1366" spans="1:4" x14ac:dyDescent="0.2">
      <c r="A1366">
        <v>2007</v>
      </c>
      <c r="B1366">
        <v>409</v>
      </c>
      <c r="C1366">
        <v>0.67564153178049746</v>
      </c>
      <c r="D1366">
        <v>0.32435846821950254</v>
      </c>
    </row>
    <row r="1367" spans="1:4" x14ac:dyDescent="0.2">
      <c r="A1367">
        <v>2006</v>
      </c>
      <c r="B1367">
        <v>409</v>
      </c>
      <c r="C1367">
        <v>0.7128805620608899</v>
      </c>
      <c r="D1367">
        <v>0.2871194379391101</v>
      </c>
    </row>
    <row r="1368" spans="1:4" x14ac:dyDescent="0.2">
      <c r="A1368">
        <v>2005</v>
      </c>
      <c r="B1368">
        <v>409</v>
      </c>
      <c r="C1368">
        <v>0.72471910112359561</v>
      </c>
      <c r="D1368">
        <v>0.27528089887640439</v>
      </c>
    </row>
    <row r="1369" spans="1:4" x14ac:dyDescent="0.2">
      <c r="A1369">
        <v>2004</v>
      </c>
      <c r="B1369">
        <v>409</v>
      </c>
      <c r="C1369">
        <v>0.73996667900777502</v>
      </c>
      <c r="D1369">
        <v>0.26003332099222498</v>
      </c>
    </row>
    <row r="1370" spans="1:4" x14ac:dyDescent="0.2">
      <c r="A1370">
        <v>2003</v>
      </c>
      <c r="B1370">
        <v>409</v>
      </c>
      <c r="C1370">
        <v>0.79460319656818668</v>
      </c>
      <c r="D1370">
        <v>0.20539680343181332</v>
      </c>
    </row>
    <row r="1371" spans="1:4" x14ac:dyDescent="0.2">
      <c r="A1371">
        <v>2002</v>
      </c>
      <c r="B1371">
        <v>409</v>
      </c>
      <c r="C1371" t="s">
        <v>25</v>
      </c>
      <c r="D1371" t="s">
        <v>25</v>
      </c>
    </row>
    <row r="1372" spans="1:4" x14ac:dyDescent="0.2">
      <c r="A1372">
        <v>2001</v>
      </c>
      <c r="B1372">
        <v>409</v>
      </c>
      <c r="C1372">
        <v>0.62388059701492538</v>
      </c>
      <c r="D1372">
        <v>0.37611940298507462</v>
      </c>
    </row>
    <row r="1373" spans="1:4" x14ac:dyDescent="0.2">
      <c r="A1373">
        <v>2000</v>
      </c>
      <c r="B1373">
        <v>409</v>
      </c>
      <c r="C1373">
        <v>0.56654135338345868</v>
      </c>
      <c r="D1373">
        <v>0.43345864661654132</v>
      </c>
    </row>
    <row r="1374" spans="1:4" x14ac:dyDescent="0.2">
      <c r="A1374">
        <v>1999</v>
      </c>
      <c r="B1374">
        <v>409</v>
      </c>
      <c r="C1374">
        <v>0.72292817679558008</v>
      </c>
      <c r="D1374">
        <v>0.27707182320441992</v>
      </c>
    </row>
    <row r="1375" spans="1:4" x14ac:dyDescent="0.2">
      <c r="A1375">
        <v>1998</v>
      </c>
      <c r="B1375">
        <v>409</v>
      </c>
      <c r="C1375">
        <v>0.5877659574468086</v>
      </c>
      <c r="D1375">
        <v>0.4122340425531914</v>
      </c>
    </row>
    <row r="1376" spans="1:4" x14ac:dyDescent="0.2">
      <c r="A1376">
        <v>1997</v>
      </c>
      <c r="B1376">
        <v>409</v>
      </c>
      <c r="C1376">
        <v>0.47500000000000003</v>
      </c>
      <c r="D1376">
        <v>0.52499999999999991</v>
      </c>
    </row>
    <row r="1377" spans="1:4" x14ac:dyDescent="0.2">
      <c r="A1377">
        <v>2021</v>
      </c>
      <c r="B1377">
        <v>420</v>
      </c>
      <c r="C1377" t="s">
        <v>25</v>
      </c>
      <c r="D1377" t="s">
        <v>25</v>
      </c>
    </row>
    <row r="1378" spans="1:4" x14ac:dyDescent="0.2">
      <c r="A1378">
        <v>2020</v>
      </c>
      <c r="B1378">
        <v>420</v>
      </c>
      <c r="C1378">
        <v>0.66732186732186738</v>
      </c>
      <c r="D1378">
        <v>0.33267813267813262</v>
      </c>
    </row>
    <row r="1379" spans="1:4" x14ac:dyDescent="0.2">
      <c r="A1379">
        <v>2019</v>
      </c>
      <c r="B1379">
        <v>420</v>
      </c>
      <c r="C1379">
        <v>0.50618556701030926</v>
      </c>
      <c r="D1379">
        <v>0.49381443298969074</v>
      </c>
    </row>
    <row r="1380" spans="1:4" x14ac:dyDescent="0.2">
      <c r="A1380">
        <v>2018</v>
      </c>
      <c r="B1380">
        <v>420</v>
      </c>
      <c r="C1380" t="s">
        <v>25</v>
      </c>
      <c r="D1380" t="s">
        <v>25</v>
      </c>
    </row>
    <row r="1381" spans="1:4" x14ac:dyDescent="0.2">
      <c r="A1381">
        <v>2017</v>
      </c>
      <c r="B1381">
        <v>420</v>
      </c>
      <c r="C1381">
        <v>0.595966742031945</v>
      </c>
      <c r="D1381">
        <v>0.404033257968055</v>
      </c>
    </row>
    <row r="1382" spans="1:4" x14ac:dyDescent="0.2">
      <c r="A1382">
        <v>2016</v>
      </c>
      <c r="B1382">
        <v>420</v>
      </c>
      <c r="C1382" t="s">
        <v>25</v>
      </c>
      <c r="D1382" t="s">
        <v>25</v>
      </c>
    </row>
    <row r="1383" spans="1:4" x14ac:dyDescent="0.2">
      <c r="A1383">
        <v>2015</v>
      </c>
      <c r="B1383">
        <v>420</v>
      </c>
      <c r="C1383" t="s">
        <v>25</v>
      </c>
      <c r="D1383" t="s">
        <v>25</v>
      </c>
    </row>
    <row r="1384" spans="1:4" x14ac:dyDescent="0.2">
      <c r="A1384">
        <v>2014</v>
      </c>
      <c r="B1384">
        <v>420</v>
      </c>
      <c r="C1384" t="s">
        <v>25</v>
      </c>
      <c r="D1384" t="s">
        <v>25</v>
      </c>
    </row>
    <row r="1385" spans="1:4" x14ac:dyDescent="0.2">
      <c r="A1385">
        <v>2013</v>
      </c>
      <c r="B1385">
        <v>420</v>
      </c>
      <c r="C1385" t="s">
        <v>25</v>
      </c>
      <c r="D1385" t="s">
        <v>25</v>
      </c>
    </row>
    <row r="1386" spans="1:4" x14ac:dyDescent="0.2">
      <c r="A1386">
        <v>2012</v>
      </c>
      <c r="B1386">
        <v>420</v>
      </c>
      <c r="C1386" t="s">
        <v>25</v>
      </c>
      <c r="D1386" t="s">
        <v>25</v>
      </c>
    </row>
    <row r="1387" spans="1:4" x14ac:dyDescent="0.2">
      <c r="A1387">
        <v>2011</v>
      </c>
      <c r="B1387">
        <v>420</v>
      </c>
      <c r="C1387" t="s">
        <v>25</v>
      </c>
      <c r="D1387" t="s">
        <v>25</v>
      </c>
    </row>
    <row r="1388" spans="1:4" x14ac:dyDescent="0.2">
      <c r="A1388">
        <v>2010</v>
      </c>
      <c r="B1388">
        <v>420</v>
      </c>
      <c r="C1388" t="s">
        <v>25</v>
      </c>
      <c r="D1388" t="s">
        <v>25</v>
      </c>
    </row>
    <row r="1389" spans="1:4" x14ac:dyDescent="0.2">
      <c r="A1389">
        <v>2009</v>
      </c>
      <c r="B1389">
        <v>420</v>
      </c>
      <c r="C1389">
        <v>0.51690943635212161</v>
      </c>
      <c r="D1389">
        <v>0.48309056364787839</v>
      </c>
    </row>
    <row r="1390" spans="1:4" x14ac:dyDescent="0.2">
      <c r="A1390">
        <v>2008</v>
      </c>
      <c r="B1390">
        <v>420</v>
      </c>
      <c r="C1390" t="s">
        <v>25</v>
      </c>
      <c r="D1390" t="s">
        <v>25</v>
      </c>
    </row>
    <row r="1391" spans="1:4" x14ac:dyDescent="0.2">
      <c r="A1391">
        <v>2007</v>
      </c>
      <c r="B1391">
        <v>420</v>
      </c>
      <c r="C1391" t="s">
        <v>25</v>
      </c>
      <c r="D1391" t="s">
        <v>25</v>
      </c>
    </row>
    <row r="1392" spans="1:4" x14ac:dyDescent="0.2">
      <c r="A1392">
        <v>2006</v>
      </c>
      <c r="B1392">
        <v>420</v>
      </c>
      <c r="C1392" t="s">
        <v>25</v>
      </c>
      <c r="D1392" t="s">
        <v>25</v>
      </c>
    </row>
    <row r="1393" spans="1:4" x14ac:dyDescent="0.2">
      <c r="A1393">
        <v>2005</v>
      </c>
      <c r="B1393">
        <v>420</v>
      </c>
      <c r="C1393" t="s">
        <v>25</v>
      </c>
      <c r="D1393" t="s">
        <v>25</v>
      </c>
    </row>
    <row r="1394" spans="1:4" x14ac:dyDescent="0.2">
      <c r="A1394">
        <v>2004</v>
      </c>
      <c r="B1394">
        <v>420</v>
      </c>
      <c r="C1394" t="s">
        <v>25</v>
      </c>
      <c r="D1394" t="s">
        <v>25</v>
      </c>
    </row>
    <row r="1395" spans="1:4" x14ac:dyDescent="0.2">
      <c r="A1395">
        <v>2003</v>
      </c>
      <c r="B1395">
        <v>420</v>
      </c>
      <c r="C1395" t="s">
        <v>25</v>
      </c>
      <c r="D1395" t="s">
        <v>25</v>
      </c>
    </row>
    <row r="1396" spans="1:4" x14ac:dyDescent="0.2">
      <c r="A1396">
        <v>2002</v>
      </c>
      <c r="B1396">
        <v>420</v>
      </c>
      <c r="C1396" t="s">
        <v>25</v>
      </c>
      <c r="D1396" t="s">
        <v>25</v>
      </c>
    </row>
    <row r="1397" spans="1:4" x14ac:dyDescent="0.2">
      <c r="A1397">
        <v>2001</v>
      </c>
      <c r="B1397">
        <v>420</v>
      </c>
      <c r="C1397" t="s">
        <v>25</v>
      </c>
      <c r="D1397" t="s">
        <v>25</v>
      </c>
    </row>
    <row r="1398" spans="1:4" x14ac:dyDescent="0.2">
      <c r="A1398">
        <v>2000</v>
      </c>
      <c r="B1398">
        <v>420</v>
      </c>
      <c r="C1398" t="s">
        <v>25</v>
      </c>
      <c r="D1398" t="s">
        <v>25</v>
      </c>
    </row>
    <row r="1399" spans="1:4" x14ac:dyDescent="0.2">
      <c r="A1399">
        <v>1999</v>
      </c>
      <c r="B1399">
        <v>420</v>
      </c>
      <c r="C1399">
        <v>0.23512593601089177</v>
      </c>
      <c r="D1399">
        <v>0.76487406398910829</v>
      </c>
    </row>
    <row r="1400" spans="1:4" x14ac:dyDescent="0.2">
      <c r="A1400">
        <v>1998</v>
      </c>
      <c r="B1400">
        <v>420</v>
      </c>
      <c r="C1400" t="s">
        <v>25</v>
      </c>
      <c r="D1400" t="s">
        <v>25</v>
      </c>
    </row>
    <row r="1401" spans="1:4" x14ac:dyDescent="0.2">
      <c r="A1401">
        <v>1997</v>
      </c>
      <c r="B1401">
        <v>420</v>
      </c>
      <c r="C1401" t="s">
        <v>25</v>
      </c>
      <c r="D1401" t="s">
        <v>25</v>
      </c>
    </row>
    <row r="1402" spans="1:4" x14ac:dyDescent="0.2">
      <c r="A1402">
        <v>2021</v>
      </c>
      <c r="B1402">
        <v>421</v>
      </c>
      <c r="C1402">
        <v>0.72238805970149256</v>
      </c>
      <c r="D1402">
        <v>0.27761194029850744</v>
      </c>
    </row>
    <row r="1403" spans="1:4" x14ac:dyDescent="0.2">
      <c r="A1403">
        <v>2020</v>
      </c>
      <c r="B1403">
        <v>421</v>
      </c>
      <c r="C1403" t="s">
        <v>25</v>
      </c>
      <c r="D1403" t="s">
        <v>25</v>
      </c>
    </row>
    <row r="1404" spans="1:4" x14ac:dyDescent="0.2">
      <c r="A1404">
        <v>2019</v>
      </c>
      <c r="B1404">
        <v>421</v>
      </c>
      <c r="C1404">
        <v>0.59091869060190083</v>
      </c>
      <c r="D1404">
        <v>0.40908130939809917</v>
      </c>
    </row>
    <row r="1405" spans="1:4" x14ac:dyDescent="0.2">
      <c r="A1405">
        <v>2018</v>
      </c>
      <c r="B1405">
        <v>421</v>
      </c>
      <c r="C1405" t="s">
        <v>25</v>
      </c>
      <c r="D1405" t="s">
        <v>25</v>
      </c>
    </row>
    <row r="1406" spans="1:4" x14ac:dyDescent="0.2">
      <c r="A1406">
        <v>2017</v>
      </c>
      <c r="B1406">
        <v>421</v>
      </c>
      <c r="C1406">
        <v>0.6884667571234736</v>
      </c>
      <c r="D1406">
        <v>0.3115332428765264</v>
      </c>
    </row>
    <row r="1407" spans="1:4" x14ac:dyDescent="0.2">
      <c r="A1407">
        <v>2016</v>
      </c>
      <c r="B1407">
        <v>421</v>
      </c>
      <c r="C1407">
        <v>0.67800829875518664</v>
      </c>
      <c r="D1407">
        <v>0.32199170124481336</v>
      </c>
    </row>
    <row r="1408" spans="1:4" x14ac:dyDescent="0.2">
      <c r="A1408">
        <v>2015</v>
      </c>
      <c r="B1408">
        <v>421</v>
      </c>
      <c r="C1408">
        <v>0.74784995425434586</v>
      </c>
      <c r="D1408">
        <v>0.25215004574565414</v>
      </c>
    </row>
    <row r="1409" spans="1:4" x14ac:dyDescent="0.2">
      <c r="A1409">
        <v>2014</v>
      </c>
      <c r="B1409">
        <v>421</v>
      </c>
      <c r="C1409" t="s">
        <v>25</v>
      </c>
      <c r="D1409" t="s">
        <v>25</v>
      </c>
    </row>
    <row r="1410" spans="1:4" x14ac:dyDescent="0.2">
      <c r="A1410">
        <v>2013</v>
      </c>
      <c r="B1410">
        <v>421</v>
      </c>
      <c r="C1410">
        <v>0.716923076923077</v>
      </c>
      <c r="D1410">
        <v>0.283076923076923</v>
      </c>
    </row>
    <row r="1411" spans="1:4" x14ac:dyDescent="0.2">
      <c r="A1411">
        <v>2012</v>
      </c>
      <c r="B1411">
        <v>421</v>
      </c>
      <c r="C1411" t="s">
        <v>25</v>
      </c>
      <c r="D1411" t="s">
        <v>25</v>
      </c>
    </row>
    <row r="1412" spans="1:4" x14ac:dyDescent="0.2">
      <c r="A1412">
        <v>2011</v>
      </c>
      <c r="B1412">
        <v>421</v>
      </c>
      <c r="C1412">
        <v>0.44173228346456694</v>
      </c>
      <c r="D1412">
        <v>0.55826771653543306</v>
      </c>
    </row>
    <row r="1413" spans="1:4" x14ac:dyDescent="0.2">
      <c r="A1413">
        <v>2010</v>
      </c>
      <c r="B1413">
        <v>421</v>
      </c>
      <c r="C1413">
        <v>0.75367211348536556</v>
      </c>
      <c r="D1413">
        <v>0.24632788651463444</v>
      </c>
    </row>
    <row r="1414" spans="1:4" x14ac:dyDescent="0.2">
      <c r="A1414">
        <v>2009</v>
      </c>
      <c r="B1414">
        <v>421</v>
      </c>
      <c r="C1414">
        <v>0.35169095408303552</v>
      </c>
      <c r="D1414">
        <v>0.64830904591696448</v>
      </c>
    </row>
    <row r="1415" spans="1:4" x14ac:dyDescent="0.2">
      <c r="A1415">
        <v>2008</v>
      </c>
      <c r="B1415">
        <v>421</v>
      </c>
      <c r="C1415" t="s">
        <v>25</v>
      </c>
      <c r="D1415" t="s">
        <v>25</v>
      </c>
    </row>
    <row r="1416" spans="1:4" x14ac:dyDescent="0.2">
      <c r="A1416">
        <v>2007</v>
      </c>
      <c r="B1416">
        <v>421</v>
      </c>
      <c r="C1416" t="s">
        <v>25</v>
      </c>
      <c r="D1416" t="s">
        <v>25</v>
      </c>
    </row>
    <row r="1417" spans="1:4" x14ac:dyDescent="0.2">
      <c r="A1417">
        <v>2006</v>
      </c>
      <c r="B1417">
        <v>421</v>
      </c>
      <c r="C1417" t="s">
        <v>25</v>
      </c>
      <c r="D1417" t="s">
        <v>25</v>
      </c>
    </row>
    <row r="1418" spans="1:4" x14ac:dyDescent="0.2">
      <c r="A1418">
        <v>2005</v>
      </c>
      <c r="B1418">
        <v>421</v>
      </c>
      <c r="C1418" t="s">
        <v>25</v>
      </c>
      <c r="D1418" t="s">
        <v>25</v>
      </c>
    </row>
    <row r="1419" spans="1:4" x14ac:dyDescent="0.2">
      <c r="A1419">
        <v>2004</v>
      </c>
      <c r="B1419">
        <v>421</v>
      </c>
      <c r="C1419" t="s">
        <v>25</v>
      </c>
      <c r="D1419" t="s">
        <v>25</v>
      </c>
    </row>
    <row r="1420" spans="1:4" x14ac:dyDescent="0.2">
      <c r="A1420">
        <v>2003</v>
      </c>
      <c r="B1420">
        <v>421</v>
      </c>
      <c r="C1420" t="s">
        <v>25</v>
      </c>
      <c r="D1420" t="s">
        <v>25</v>
      </c>
    </row>
    <row r="1421" spans="1:4" x14ac:dyDescent="0.2">
      <c r="A1421">
        <v>2002</v>
      </c>
      <c r="B1421">
        <v>421</v>
      </c>
      <c r="C1421" t="s">
        <v>25</v>
      </c>
      <c r="D1421" t="s">
        <v>25</v>
      </c>
    </row>
    <row r="1422" spans="1:4" x14ac:dyDescent="0.2">
      <c r="A1422">
        <v>2001</v>
      </c>
      <c r="B1422">
        <v>421</v>
      </c>
      <c r="C1422" t="s">
        <v>25</v>
      </c>
      <c r="D1422" t="s">
        <v>25</v>
      </c>
    </row>
    <row r="1423" spans="1:4" x14ac:dyDescent="0.2">
      <c r="A1423">
        <v>2000</v>
      </c>
      <c r="B1423">
        <v>421</v>
      </c>
      <c r="C1423" t="s">
        <v>25</v>
      </c>
      <c r="D1423" t="s">
        <v>25</v>
      </c>
    </row>
    <row r="1424" spans="1:4" x14ac:dyDescent="0.2">
      <c r="A1424">
        <v>1999</v>
      </c>
      <c r="B1424">
        <v>421</v>
      </c>
      <c r="C1424" t="s">
        <v>25</v>
      </c>
      <c r="D1424" t="s">
        <v>25</v>
      </c>
    </row>
    <row r="1425" spans="1:4" x14ac:dyDescent="0.2">
      <c r="A1425">
        <v>1998</v>
      </c>
      <c r="B1425">
        <v>421</v>
      </c>
      <c r="C1425" t="s">
        <v>25</v>
      </c>
      <c r="D1425" t="s">
        <v>25</v>
      </c>
    </row>
    <row r="1426" spans="1:4" x14ac:dyDescent="0.2">
      <c r="A1426">
        <v>1997</v>
      </c>
      <c r="B1426">
        <v>421</v>
      </c>
      <c r="C1426" t="s">
        <v>25</v>
      </c>
      <c r="D1426" t="s">
        <v>25</v>
      </c>
    </row>
    <row r="1427" spans="1:4" x14ac:dyDescent="0.2">
      <c r="A1427">
        <v>2021</v>
      </c>
      <c r="B1427">
        <v>422</v>
      </c>
      <c r="C1427" t="s">
        <v>25</v>
      </c>
      <c r="D1427" t="s">
        <v>25</v>
      </c>
    </row>
    <row r="1428" spans="1:4" x14ac:dyDescent="0.2">
      <c r="A1428">
        <v>2020</v>
      </c>
      <c r="B1428">
        <v>422</v>
      </c>
      <c r="C1428" t="s">
        <v>25</v>
      </c>
      <c r="D1428" t="s">
        <v>25</v>
      </c>
    </row>
    <row r="1429" spans="1:4" x14ac:dyDescent="0.2">
      <c r="A1429">
        <v>2019</v>
      </c>
      <c r="B1429">
        <v>422</v>
      </c>
      <c r="C1429">
        <v>0.75011547344110852</v>
      </c>
      <c r="D1429">
        <v>0.24988452655889148</v>
      </c>
    </row>
    <row r="1430" spans="1:4" x14ac:dyDescent="0.2">
      <c r="A1430">
        <v>2018</v>
      </c>
      <c r="B1430">
        <v>422</v>
      </c>
      <c r="C1430" t="s">
        <v>25</v>
      </c>
      <c r="D1430" t="s">
        <v>25</v>
      </c>
    </row>
    <row r="1431" spans="1:4" x14ac:dyDescent="0.2">
      <c r="A1431">
        <v>2017</v>
      </c>
      <c r="B1431">
        <v>422</v>
      </c>
      <c r="C1431" t="s">
        <v>25</v>
      </c>
      <c r="D1431" t="s">
        <v>25</v>
      </c>
    </row>
    <row r="1432" spans="1:4" x14ac:dyDescent="0.2">
      <c r="A1432">
        <v>2016</v>
      </c>
      <c r="B1432">
        <v>422</v>
      </c>
      <c r="C1432" t="s">
        <v>25</v>
      </c>
      <c r="D1432" t="s">
        <v>25</v>
      </c>
    </row>
    <row r="1433" spans="1:4" x14ac:dyDescent="0.2">
      <c r="A1433">
        <v>2015</v>
      </c>
      <c r="B1433">
        <v>422</v>
      </c>
      <c r="C1433" t="s">
        <v>25</v>
      </c>
      <c r="D1433" t="s">
        <v>25</v>
      </c>
    </row>
    <row r="1434" spans="1:4" x14ac:dyDescent="0.2">
      <c r="A1434">
        <v>2014</v>
      </c>
      <c r="B1434">
        <v>422</v>
      </c>
      <c r="C1434" t="s">
        <v>25</v>
      </c>
      <c r="D1434" t="s">
        <v>25</v>
      </c>
    </row>
    <row r="1435" spans="1:4" x14ac:dyDescent="0.2">
      <c r="A1435">
        <v>2013</v>
      </c>
      <c r="B1435">
        <v>422</v>
      </c>
      <c r="C1435" t="s">
        <v>25</v>
      </c>
      <c r="D1435" t="s">
        <v>25</v>
      </c>
    </row>
    <row r="1436" spans="1:4" x14ac:dyDescent="0.2">
      <c r="A1436">
        <v>2012</v>
      </c>
      <c r="B1436">
        <v>422</v>
      </c>
      <c r="C1436">
        <v>0.39158200290275769</v>
      </c>
      <c r="D1436">
        <v>0.60841799709724231</v>
      </c>
    </row>
    <row r="1437" spans="1:4" x14ac:dyDescent="0.2">
      <c r="A1437">
        <v>2011</v>
      </c>
      <c r="B1437">
        <v>422</v>
      </c>
      <c r="C1437" t="s">
        <v>25</v>
      </c>
      <c r="D1437" t="s">
        <v>25</v>
      </c>
    </row>
    <row r="1438" spans="1:4" x14ac:dyDescent="0.2">
      <c r="A1438">
        <v>2010</v>
      </c>
      <c r="B1438">
        <v>422</v>
      </c>
      <c r="C1438" t="s">
        <v>25</v>
      </c>
      <c r="D1438" t="s">
        <v>25</v>
      </c>
    </row>
    <row r="1439" spans="1:4" x14ac:dyDescent="0.2">
      <c r="A1439">
        <v>2009</v>
      </c>
      <c r="B1439">
        <v>422</v>
      </c>
      <c r="C1439">
        <v>0.38305084745762719</v>
      </c>
      <c r="D1439">
        <v>0.61694915254237281</v>
      </c>
    </row>
    <row r="1440" spans="1:4" x14ac:dyDescent="0.2">
      <c r="A1440">
        <v>2008</v>
      </c>
      <c r="B1440">
        <v>422</v>
      </c>
      <c r="C1440" t="s">
        <v>25</v>
      </c>
      <c r="D1440" t="s">
        <v>25</v>
      </c>
    </row>
    <row r="1441" spans="1:4" x14ac:dyDescent="0.2">
      <c r="A1441">
        <v>2007</v>
      </c>
      <c r="B1441">
        <v>422</v>
      </c>
      <c r="C1441" t="s">
        <v>25</v>
      </c>
      <c r="D1441" t="s">
        <v>25</v>
      </c>
    </row>
    <row r="1442" spans="1:4" x14ac:dyDescent="0.2">
      <c r="A1442">
        <v>2006</v>
      </c>
      <c r="B1442">
        <v>422</v>
      </c>
      <c r="C1442" t="s">
        <v>25</v>
      </c>
      <c r="D1442" t="s">
        <v>25</v>
      </c>
    </row>
    <row r="1443" spans="1:4" x14ac:dyDescent="0.2">
      <c r="A1443">
        <v>2005</v>
      </c>
      <c r="B1443">
        <v>422</v>
      </c>
      <c r="C1443" t="s">
        <v>25</v>
      </c>
      <c r="D1443" t="s">
        <v>25</v>
      </c>
    </row>
    <row r="1444" spans="1:4" x14ac:dyDescent="0.2">
      <c r="A1444">
        <v>2004</v>
      </c>
      <c r="B1444">
        <v>422</v>
      </c>
      <c r="C1444" t="s">
        <v>25</v>
      </c>
      <c r="D1444" t="s">
        <v>25</v>
      </c>
    </row>
    <row r="1445" spans="1:4" x14ac:dyDescent="0.2">
      <c r="A1445">
        <v>2003</v>
      </c>
      <c r="B1445">
        <v>422</v>
      </c>
      <c r="C1445" t="s">
        <v>25</v>
      </c>
      <c r="D1445" t="s">
        <v>25</v>
      </c>
    </row>
    <row r="1446" spans="1:4" x14ac:dyDescent="0.2">
      <c r="A1446">
        <v>2002</v>
      </c>
      <c r="B1446">
        <v>422</v>
      </c>
      <c r="C1446" t="s">
        <v>25</v>
      </c>
      <c r="D1446" t="s">
        <v>25</v>
      </c>
    </row>
    <row r="1447" spans="1:4" x14ac:dyDescent="0.2">
      <c r="A1447">
        <v>2001</v>
      </c>
      <c r="B1447">
        <v>422</v>
      </c>
      <c r="C1447" t="s">
        <v>25</v>
      </c>
      <c r="D1447" t="s">
        <v>25</v>
      </c>
    </row>
    <row r="1448" spans="1:4" x14ac:dyDescent="0.2">
      <c r="A1448">
        <v>2000</v>
      </c>
      <c r="B1448">
        <v>422</v>
      </c>
      <c r="C1448">
        <v>0.39054820415879021</v>
      </c>
      <c r="D1448">
        <v>0.60945179584120979</v>
      </c>
    </row>
    <row r="1449" spans="1:4" x14ac:dyDescent="0.2">
      <c r="A1449">
        <v>1999</v>
      </c>
      <c r="B1449">
        <v>422</v>
      </c>
      <c r="C1449">
        <v>0.65264705882352936</v>
      </c>
      <c r="D1449">
        <v>0.34735294117647064</v>
      </c>
    </row>
    <row r="1450" spans="1:4" x14ac:dyDescent="0.2">
      <c r="A1450">
        <v>1998</v>
      </c>
      <c r="B1450">
        <v>422</v>
      </c>
      <c r="C1450" t="s">
        <v>25</v>
      </c>
      <c r="D1450" t="s">
        <v>25</v>
      </c>
    </row>
    <row r="1451" spans="1:4" x14ac:dyDescent="0.2">
      <c r="A1451">
        <v>1997</v>
      </c>
      <c r="B1451">
        <v>422</v>
      </c>
      <c r="C1451">
        <v>0.43496503496503502</v>
      </c>
      <c r="D1451">
        <v>0.56503496503496498</v>
      </c>
    </row>
    <row r="1452" spans="1:4" x14ac:dyDescent="0.2">
      <c r="A1452">
        <v>2021</v>
      </c>
      <c r="B1452">
        <v>423</v>
      </c>
      <c r="C1452">
        <v>0.36682027649769577</v>
      </c>
      <c r="D1452">
        <v>0.63317972350230423</v>
      </c>
    </row>
    <row r="1453" spans="1:4" x14ac:dyDescent="0.2">
      <c r="A1453">
        <v>2020</v>
      </c>
      <c r="B1453">
        <v>423</v>
      </c>
      <c r="C1453">
        <v>0.52619128705945162</v>
      </c>
      <c r="D1453">
        <v>0.47380871294054838</v>
      </c>
    </row>
    <row r="1454" spans="1:4" x14ac:dyDescent="0.2">
      <c r="A1454">
        <v>2019</v>
      </c>
      <c r="B1454">
        <v>423</v>
      </c>
      <c r="C1454">
        <v>0.34200976462872557</v>
      </c>
      <c r="D1454">
        <v>0.65799023537127443</v>
      </c>
    </row>
    <row r="1455" spans="1:4" x14ac:dyDescent="0.2">
      <c r="A1455">
        <v>2018</v>
      </c>
      <c r="B1455">
        <v>423</v>
      </c>
      <c r="C1455">
        <v>0.68404369903062001</v>
      </c>
      <c r="D1455">
        <v>0.31595630096937999</v>
      </c>
    </row>
    <row r="1456" spans="1:4" x14ac:dyDescent="0.2">
      <c r="A1456">
        <v>2017</v>
      </c>
      <c r="B1456">
        <v>423</v>
      </c>
      <c r="C1456">
        <v>0.4653530377668309</v>
      </c>
      <c r="D1456">
        <v>0.5346469622331691</v>
      </c>
    </row>
    <row r="1457" spans="1:4" x14ac:dyDescent="0.2">
      <c r="A1457">
        <v>2016</v>
      </c>
      <c r="B1457">
        <v>423</v>
      </c>
      <c r="C1457">
        <v>0.43072010218745016</v>
      </c>
      <c r="D1457">
        <v>0.56927989781254984</v>
      </c>
    </row>
    <row r="1458" spans="1:4" x14ac:dyDescent="0.2">
      <c r="A1458">
        <v>2015</v>
      </c>
      <c r="B1458">
        <v>423</v>
      </c>
      <c r="C1458">
        <v>0.32783631810234842</v>
      </c>
      <c r="D1458">
        <v>0.67216368189765152</v>
      </c>
    </row>
    <row r="1459" spans="1:4" x14ac:dyDescent="0.2">
      <c r="A1459">
        <v>2014</v>
      </c>
      <c r="B1459">
        <v>423</v>
      </c>
      <c r="C1459">
        <v>0.46661880832735109</v>
      </c>
      <c r="D1459">
        <v>0.53338119167264897</v>
      </c>
    </row>
    <row r="1460" spans="1:4" x14ac:dyDescent="0.2">
      <c r="A1460">
        <v>2013</v>
      </c>
      <c r="B1460">
        <v>423</v>
      </c>
      <c r="C1460">
        <v>0.52703862660944212</v>
      </c>
      <c r="D1460">
        <v>0.47296137339055788</v>
      </c>
    </row>
    <row r="1461" spans="1:4" x14ac:dyDescent="0.2">
      <c r="A1461">
        <v>2012</v>
      </c>
      <c r="B1461">
        <v>423</v>
      </c>
      <c r="C1461">
        <v>0.34938472637328666</v>
      </c>
      <c r="D1461">
        <v>0.65061527362671334</v>
      </c>
    </row>
    <row r="1462" spans="1:4" x14ac:dyDescent="0.2">
      <c r="A1462">
        <v>2011</v>
      </c>
      <c r="B1462">
        <v>423</v>
      </c>
      <c r="C1462">
        <v>0.55558283749189097</v>
      </c>
      <c r="D1462">
        <v>0.44441716250810903</v>
      </c>
    </row>
    <row r="1463" spans="1:4" x14ac:dyDescent="0.2">
      <c r="A1463">
        <v>2010</v>
      </c>
      <c r="B1463">
        <v>423</v>
      </c>
      <c r="C1463">
        <v>0.47004747046754158</v>
      </c>
      <c r="D1463">
        <v>0.52995252953245842</v>
      </c>
    </row>
    <row r="1464" spans="1:4" x14ac:dyDescent="0.2">
      <c r="A1464">
        <v>2009</v>
      </c>
      <c r="B1464">
        <v>423</v>
      </c>
      <c r="C1464">
        <v>0.40557025050567919</v>
      </c>
      <c r="D1464">
        <v>0.59442974949432081</v>
      </c>
    </row>
    <row r="1465" spans="1:4" x14ac:dyDescent="0.2">
      <c r="A1465">
        <v>2008</v>
      </c>
      <c r="B1465">
        <v>423</v>
      </c>
      <c r="C1465">
        <v>0.61290234958576673</v>
      </c>
      <c r="D1465">
        <v>0.38709765041423327</v>
      </c>
    </row>
    <row r="1466" spans="1:4" x14ac:dyDescent="0.2">
      <c r="A1466">
        <v>2007</v>
      </c>
      <c r="B1466">
        <v>423</v>
      </c>
      <c r="C1466">
        <v>0.66207985562824279</v>
      </c>
      <c r="D1466">
        <v>0.33792014437175721</v>
      </c>
    </row>
    <row r="1467" spans="1:4" x14ac:dyDescent="0.2">
      <c r="A1467">
        <v>2006</v>
      </c>
      <c r="B1467">
        <v>423</v>
      </c>
      <c r="C1467">
        <v>0.36335187760778859</v>
      </c>
      <c r="D1467">
        <v>0.63664812239221136</v>
      </c>
    </row>
    <row r="1468" spans="1:4" x14ac:dyDescent="0.2">
      <c r="A1468">
        <v>2005</v>
      </c>
      <c r="B1468">
        <v>423</v>
      </c>
      <c r="C1468">
        <v>0.56596194503171249</v>
      </c>
      <c r="D1468">
        <v>0.43403805496828751</v>
      </c>
    </row>
    <row r="1469" spans="1:4" x14ac:dyDescent="0.2">
      <c r="A1469">
        <v>2004</v>
      </c>
      <c r="B1469">
        <v>423</v>
      </c>
      <c r="C1469">
        <v>0.40820189274447949</v>
      </c>
      <c r="D1469">
        <v>0.59179810725552051</v>
      </c>
    </row>
    <row r="1470" spans="1:4" x14ac:dyDescent="0.2">
      <c r="A1470">
        <v>2003</v>
      </c>
      <c r="B1470">
        <v>423</v>
      </c>
      <c r="C1470">
        <v>0.3804398948678932</v>
      </c>
      <c r="D1470">
        <v>0.6195601051321068</v>
      </c>
    </row>
    <row r="1471" spans="1:4" x14ac:dyDescent="0.2">
      <c r="A1471">
        <v>2002</v>
      </c>
      <c r="B1471">
        <v>423</v>
      </c>
      <c r="C1471">
        <v>0.58580219388210109</v>
      </c>
      <c r="D1471">
        <v>0.41419780611789891</v>
      </c>
    </row>
    <row r="1472" spans="1:4" x14ac:dyDescent="0.2">
      <c r="A1472">
        <v>2001</v>
      </c>
      <c r="B1472">
        <v>423</v>
      </c>
      <c r="C1472">
        <v>0.40850622406639003</v>
      </c>
      <c r="D1472">
        <v>0.59149377593360997</v>
      </c>
    </row>
    <row r="1473" spans="1:4" x14ac:dyDescent="0.2">
      <c r="A1473">
        <v>2000</v>
      </c>
      <c r="B1473">
        <v>423</v>
      </c>
      <c r="C1473">
        <v>0.57066411849020537</v>
      </c>
      <c r="D1473">
        <v>0.42933588150979463</v>
      </c>
    </row>
    <row r="1474" spans="1:4" x14ac:dyDescent="0.2">
      <c r="A1474">
        <v>1999</v>
      </c>
      <c r="B1474">
        <v>423</v>
      </c>
      <c r="C1474">
        <v>0.52396694214876038</v>
      </c>
      <c r="D1474">
        <v>0.47603305785123962</v>
      </c>
    </row>
    <row r="1475" spans="1:4" x14ac:dyDescent="0.2">
      <c r="A1475">
        <v>1998</v>
      </c>
      <c r="B1475">
        <v>423</v>
      </c>
      <c r="C1475">
        <v>0.54538071065989846</v>
      </c>
      <c r="D1475">
        <v>0.45461928934010154</v>
      </c>
    </row>
    <row r="1476" spans="1:4" x14ac:dyDescent="0.2">
      <c r="A1476">
        <v>1997</v>
      </c>
      <c r="B1476">
        <v>423</v>
      </c>
      <c r="C1476">
        <v>0.27110247693054884</v>
      </c>
      <c r="D1476">
        <v>0.72889752306945121</v>
      </c>
    </row>
    <row r="1477" spans="1:4" x14ac:dyDescent="0.2">
      <c r="A1477">
        <v>2021</v>
      </c>
      <c r="B1477">
        <v>424</v>
      </c>
      <c r="C1477" t="s">
        <v>25</v>
      </c>
      <c r="D1477" t="s">
        <v>25</v>
      </c>
    </row>
    <row r="1478" spans="1:4" x14ac:dyDescent="0.2">
      <c r="A1478">
        <v>2020</v>
      </c>
      <c r="B1478">
        <v>424</v>
      </c>
      <c r="C1478" t="s">
        <v>25</v>
      </c>
      <c r="D1478" t="s">
        <v>25</v>
      </c>
    </row>
    <row r="1479" spans="1:4" x14ac:dyDescent="0.2">
      <c r="A1479">
        <v>2019</v>
      </c>
      <c r="B1479">
        <v>424</v>
      </c>
      <c r="C1479" t="s">
        <v>25</v>
      </c>
      <c r="D1479" t="s">
        <v>25</v>
      </c>
    </row>
    <row r="1480" spans="1:4" x14ac:dyDescent="0.2">
      <c r="A1480">
        <v>2018</v>
      </c>
      <c r="B1480">
        <v>424</v>
      </c>
      <c r="C1480">
        <v>0.64171229467396718</v>
      </c>
      <c r="D1480">
        <v>0.35828770532603282</v>
      </c>
    </row>
    <row r="1481" spans="1:4" x14ac:dyDescent="0.2">
      <c r="A1481">
        <v>2017</v>
      </c>
      <c r="B1481">
        <v>424</v>
      </c>
      <c r="C1481">
        <v>0.55258646172036652</v>
      </c>
      <c r="D1481">
        <v>0.44741353827963348</v>
      </c>
    </row>
    <row r="1482" spans="1:4" x14ac:dyDescent="0.2">
      <c r="A1482">
        <v>2016</v>
      </c>
      <c r="B1482">
        <v>424</v>
      </c>
      <c r="C1482">
        <v>0.67674661105318046</v>
      </c>
      <c r="D1482">
        <v>0.32325338894681954</v>
      </c>
    </row>
    <row r="1483" spans="1:4" x14ac:dyDescent="0.2">
      <c r="A1483">
        <v>2015</v>
      </c>
      <c r="B1483">
        <v>424</v>
      </c>
      <c r="C1483">
        <v>0.28410661401776899</v>
      </c>
      <c r="D1483">
        <v>0.71589338598223096</v>
      </c>
    </row>
    <row r="1484" spans="1:4" x14ac:dyDescent="0.2">
      <c r="A1484">
        <v>2014</v>
      </c>
      <c r="B1484">
        <v>424</v>
      </c>
      <c r="C1484" t="s">
        <v>25</v>
      </c>
      <c r="D1484" t="s">
        <v>25</v>
      </c>
    </row>
    <row r="1485" spans="1:4" x14ac:dyDescent="0.2">
      <c r="A1485">
        <v>2013</v>
      </c>
      <c r="B1485">
        <v>424</v>
      </c>
      <c r="C1485" t="s">
        <v>25</v>
      </c>
      <c r="D1485" t="s">
        <v>25</v>
      </c>
    </row>
    <row r="1486" spans="1:4" x14ac:dyDescent="0.2">
      <c r="A1486">
        <v>2012</v>
      </c>
      <c r="B1486">
        <v>424</v>
      </c>
      <c r="C1486">
        <v>0.59767028301236547</v>
      </c>
      <c r="D1486">
        <v>0.40232971698763453</v>
      </c>
    </row>
    <row r="1487" spans="1:4" x14ac:dyDescent="0.2">
      <c r="A1487">
        <v>2011</v>
      </c>
      <c r="B1487">
        <v>424</v>
      </c>
      <c r="C1487">
        <v>0.48975333983914937</v>
      </c>
      <c r="D1487">
        <v>0.51024666016085063</v>
      </c>
    </row>
    <row r="1488" spans="1:4" x14ac:dyDescent="0.2">
      <c r="A1488">
        <v>2010</v>
      </c>
      <c r="B1488">
        <v>424</v>
      </c>
      <c r="C1488">
        <v>0.70714985308521061</v>
      </c>
      <c r="D1488">
        <v>0.29285014691478939</v>
      </c>
    </row>
    <row r="1489" spans="1:4" x14ac:dyDescent="0.2">
      <c r="A1489">
        <v>2009</v>
      </c>
      <c r="B1489">
        <v>424</v>
      </c>
      <c r="C1489">
        <v>0.64059766763848391</v>
      </c>
      <c r="D1489">
        <v>0.35940233236151609</v>
      </c>
    </row>
    <row r="1490" spans="1:4" x14ac:dyDescent="0.2">
      <c r="A1490">
        <v>2008</v>
      </c>
      <c r="B1490">
        <v>424</v>
      </c>
      <c r="C1490">
        <v>0.63672566371681416</v>
      </c>
      <c r="D1490">
        <v>0.36327433628318584</v>
      </c>
    </row>
    <row r="1491" spans="1:4" x14ac:dyDescent="0.2">
      <c r="A1491">
        <v>2007</v>
      </c>
      <c r="B1491">
        <v>424</v>
      </c>
      <c r="C1491" t="s">
        <v>25</v>
      </c>
      <c r="D1491" t="s">
        <v>25</v>
      </c>
    </row>
    <row r="1492" spans="1:4" x14ac:dyDescent="0.2">
      <c r="A1492">
        <v>2006</v>
      </c>
      <c r="B1492">
        <v>424</v>
      </c>
      <c r="C1492">
        <v>0.40550964187327831</v>
      </c>
      <c r="D1492">
        <v>0.59449035812672169</v>
      </c>
    </row>
    <row r="1493" spans="1:4" x14ac:dyDescent="0.2">
      <c r="A1493">
        <v>2005</v>
      </c>
      <c r="B1493">
        <v>424</v>
      </c>
      <c r="C1493">
        <v>0.3201242664825682</v>
      </c>
      <c r="D1493">
        <v>0.6798757335174318</v>
      </c>
    </row>
    <row r="1494" spans="1:4" x14ac:dyDescent="0.2">
      <c r="A1494">
        <v>2004</v>
      </c>
      <c r="B1494">
        <v>424</v>
      </c>
      <c r="C1494">
        <v>0.3295774647887324</v>
      </c>
      <c r="D1494">
        <v>0.6704225352112676</v>
      </c>
    </row>
    <row r="1495" spans="1:4" x14ac:dyDescent="0.2">
      <c r="A1495">
        <v>2003</v>
      </c>
      <c r="B1495">
        <v>424</v>
      </c>
      <c r="C1495">
        <v>0.37539627842866991</v>
      </c>
      <c r="D1495">
        <v>0.62460372157133004</v>
      </c>
    </row>
    <row r="1496" spans="1:4" x14ac:dyDescent="0.2">
      <c r="A1496">
        <v>2002</v>
      </c>
      <c r="B1496">
        <v>424</v>
      </c>
      <c r="C1496">
        <v>0.64623430962343098</v>
      </c>
      <c r="D1496">
        <v>0.35376569037656902</v>
      </c>
    </row>
    <row r="1497" spans="1:4" x14ac:dyDescent="0.2">
      <c r="A1497">
        <v>2001</v>
      </c>
      <c r="B1497">
        <v>424</v>
      </c>
      <c r="C1497">
        <v>0.6031930333817126</v>
      </c>
      <c r="D1497">
        <v>0.3968069666182874</v>
      </c>
    </row>
    <row r="1498" spans="1:4" x14ac:dyDescent="0.2">
      <c r="A1498">
        <v>2000</v>
      </c>
      <c r="B1498">
        <v>424</v>
      </c>
      <c r="C1498">
        <v>0.50563909774436089</v>
      </c>
      <c r="D1498">
        <v>0.49436090225563911</v>
      </c>
    </row>
    <row r="1499" spans="1:4" x14ac:dyDescent="0.2">
      <c r="A1499">
        <v>1999</v>
      </c>
      <c r="B1499">
        <v>424</v>
      </c>
      <c r="C1499">
        <v>0.43564954682779461</v>
      </c>
      <c r="D1499">
        <v>0.56435045317220545</v>
      </c>
    </row>
    <row r="1500" spans="1:4" x14ac:dyDescent="0.2">
      <c r="A1500">
        <v>1998</v>
      </c>
      <c r="B1500">
        <v>424</v>
      </c>
      <c r="C1500">
        <v>0.52947976878612724</v>
      </c>
      <c r="D1500">
        <v>0.47052023121387276</v>
      </c>
    </row>
    <row r="1501" spans="1:4" x14ac:dyDescent="0.2">
      <c r="A1501">
        <v>1997</v>
      </c>
      <c r="B1501">
        <v>424</v>
      </c>
      <c r="C1501">
        <v>0.4221374045801527</v>
      </c>
      <c r="D1501">
        <v>0.5778625954198473</v>
      </c>
    </row>
    <row r="1502" spans="1:4" x14ac:dyDescent="0.2">
      <c r="A1502">
        <v>2021</v>
      </c>
      <c r="B1502">
        <v>425</v>
      </c>
      <c r="C1502" t="s">
        <v>25</v>
      </c>
      <c r="D1502" t="s">
        <v>25</v>
      </c>
    </row>
    <row r="1503" spans="1:4" x14ac:dyDescent="0.2">
      <c r="A1503">
        <v>2020</v>
      </c>
      <c r="B1503">
        <v>425</v>
      </c>
      <c r="C1503" t="s">
        <v>25</v>
      </c>
      <c r="D1503" t="s">
        <v>25</v>
      </c>
    </row>
    <row r="1504" spans="1:4" x14ac:dyDescent="0.2">
      <c r="A1504">
        <v>2019</v>
      </c>
      <c r="B1504">
        <v>425</v>
      </c>
      <c r="C1504" t="s">
        <v>25</v>
      </c>
      <c r="D1504" t="s">
        <v>25</v>
      </c>
    </row>
    <row r="1505" spans="1:4" x14ac:dyDescent="0.2">
      <c r="A1505">
        <v>2018</v>
      </c>
      <c r="B1505">
        <v>425</v>
      </c>
      <c r="C1505" t="s">
        <v>25</v>
      </c>
      <c r="D1505" t="s">
        <v>25</v>
      </c>
    </row>
    <row r="1506" spans="1:4" x14ac:dyDescent="0.2">
      <c r="A1506">
        <v>2017</v>
      </c>
      <c r="B1506">
        <v>425</v>
      </c>
      <c r="C1506" t="s">
        <v>25</v>
      </c>
      <c r="D1506" t="s">
        <v>25</v>
      </c>
    </row>
    <row r="1507" spans="1:4" x14ac:dyDescent="0.2">
      <c r="A1507">
        <v>2016</v>
      </c>
      <c r="B1507">
        <v>425</v>
      </c>
      <c r="C1507" t="s">
        <v>25</v>
      </c>
      <c r="D1507" t="s">
        <v>25</v>
      </c>
    </row>
    <row r="1508" spans="1:4" x14ac:dyDescent="0.2">
      <c r="A1508">
        <v>2015</v>
      </c>
      <c r="B1508">
        <v>425</v>
      </c>
      <c r="C1508" t="s">
        <v>25</v>
      </c>
      <c r="D1508" t="s">
        <v>25</v>
      </c>
    </row>
    <row r="1509" spans="1:4" x14ac:dyDescent="0.2">
      <c r="A1509">
        <v>2014</v>
      </c>
      <c r="B1509">
        <v>425</v>
      </c>
      <c r="C1509" t="s">
        <v>25</v>
      </c>
      <c r="D1509" t="s">
        <v>25</v>
      </c>
    </row>
    <row r="1510" spans="1:4" x14ac:dyDescent="0.2">
      <c r="A1510">
        <v>2013</v>
      </c>
      <c r="B1510">
        <v>425</v>
      </c>
      <c r="C1510" t="s">
        <v>25</v>
      </c>
      <c r="D1510" t="s">
        <v>25</v>
      </c>
    </row>
    <row r="1511" spans="1:4" x14ac:dyDescent="0.2">
      <c r="A1511">
        <v>2012</v>
      </c>
      <c r="B1511">
        <v>425</v>
      </c>
      <c r="C1511" t="s">
        <v>25</v>
      </c>
      <c r="D1511" t="s">
        <v>25</v>
      </c>
    </row>
    <row r="1512" spans="1:4" x14ac:dyDescent="0.2">
      <c r="A1512">
        <v>2011</v>
      </c>
      <c r="B1512">
        <v>425</v>
      </c>
      <c r="C1512">
        <v>0.36338338822249749</v>
      </c>
      <c r="D1512">
        <v>0.63661661177750251</v>
      </c>
    </row>
    <row r="1513" spans="1:4" x14ac:dyDescent="0.2">
      <c r="A1513">
        <v>2010</v>
      </c>
      <c r="B1513">
        <v>425</v>
      </c>
      <c r="C1513">
        <v>0.67640000000000011</v>
      </c>
      <c r="D1513">
        <v>0.32359999999999989</v>
      </c>
    </row>
    <row r="1514" spans="1:4" x14ac:dyDescent="0.2">
      <c r="A1514">
        <v>2009</v>
      </c>
      <c r="B1514">
        <v>425</v>
      </c>
      <c r="C1514" t="s">
        <v>25</v>
      </c>
      <c r="D1514" t="s">
        <v>25</v>
      </c>
    </row>
    <row r="1515" spans="1:4" x14ac:dyDescent="0.2">
      <c r="A1515">
        <v>2008</v>
      </c>
      <c r="B1515">
        <v>425</v>
      </c>
      <c r="C1515">
        <v>0.38624999999999998</v>
      </c>
      <c r="D1515">
        <v>0.61375000000000002</v>
      </c>
    </row>
    <row r="1516" spans="1:4" x14ac:dyDescent="0.2">
      <c r="A1516">
        <v>2007</v>
      </c>
      <c r="B1516">
        <v>425</v>
      </c>
      <c r="C1516" t="s">
        <v>25</v>
      </c>
      <c r="D1516" t="s">
        <v>25</v>
      </c>
    </row>
    <row r="1517" spans="1:4" x14ac:dyDescent="0.2">
      <c r="A1517">
        <v>2006</v>
      </c>
      <c r="B1517">
        <v>425</v>
      </c>
      <c r="C1517" t="s">
        <v>25</v>
      </c>
      <c r="D1517" t="s">
        <v>25</v>
      </c>
    </row>
    <row r="1518" spans="1:4" x14ac:dyDescent="0.2">
      <c r="A1518">
        <v>2005</v>
      </c>
      <c r="B1518">
        <v>425</v>
      </c>
      <c r="C1518">
        <v>0.3175030599755202</v>
      </c>
      <c r="D1518">
        <v>0.6824969400244798</v>
      </c>
    </row>
    <row r="1519" spans="1:4" x14ac:dyDescent="0.2">
      <c r="A1519">
        <v>2004</v>
      </c>
      <c r="B1519">
        <v>425</v>
      </c>
      <c r="C1519" t="s">
        <v>25</v>
      </c>
      <c r="D1519" t="s">
        <v>25</v>
      </c>
    </row>
    <row r="1520" spans="1:4" x14ac:dyDescent="0.2">
      <c r="A1520">
        <v>2003</v>
      </c>
      <c r="B1520">
        <v>425</v>
      </c>
      <c r="C1520" t="s">
        <v>25</v>
      </c>
      <c r="D1520" t="s">
        <v>25</v>
      </c>
    </row>
    <row r="1521" spans="1:4" x14ac:dyDescent="0.2">
      <c r="A1521">
        <v>2002</v>
      </c>
      <c r="B1521">
        <v>425</v>
      </c>
      <c r="C1521" t="s">
        <v>25</v>
      </c>
      <c r="D1521" t="s">
        <v>25</v>
      </c>
    </row>
    <row r="1522" spans="1:4" x14ac:dyDescent="0.2">
      <c r="A1522">
        <v>2001</v>
      </c>
      <c r="B1522">
        <v>425</v>
      </c>
      <c r="C1522" t="s">
        <v>25</v>
      </c>
      <c r="D1522" t="s">
        <v>25</v>
      </c>
    </row>
    <row r="1523" spans="1:4" x14ac:dyDescent="0.2">
      <c r="A1523">
        <v>2000</v>
      </c>
      <c r="B1523">
        <v>425</v>
      </c>
      <c r="C1523">
        <v>0.71098527746319362</v>
      </c>
      <c r="D1523">
        <v>0.28901472253680638</v>
      </c>
    </row>
    <row r="1524" spans="1:4" x14ac:dyDescent="0.2">
      <c r="A1524">
        <v>1999</v>
      </c>
      <c r="B1524">
        <v>425</v>
      </c>
      <c r="C1524">
        <v>0.52556818181818188</v>
      </c>
      <c r="D1524">
        <v>0.47443181818181812</v>
      </c>
    </row>
    <row r="1525" spans="1:4" x14ac:dyDescent="0.2">
      <c r="A1525">
        <v>1998</v>
      </c>
      <c r="B1525">
        <v>425</v>
      </c>
      <c r="C1525" t="s">
        <v>25</v>
      </c>
      <c r="D1525" t="s">
        <v>25</v>
      </c>
    </row>
    <row r="1526" spans="1:4" x14ac:dyDescent="0.2">
      <c r="A1526">
        <v>1997</v>
      </c>
      <c r="B1526">
        <v>425</v>
      </c>
      <c r="C1526">
        <v>0.28622754491017965</v>
      </c>
      <c r="D1526">
        <v>0.71377245508982035</v>
      </c>
    </row>
    <row r="1527" spans="1:4" x14ac:dyDescent="0.2">
      <c r="A1527">
        <v>2021</v>
      </c>
      <c r="B1527">
        <v>426</v>
      </c>
      <c r="C1527" t="s">
        <v>25</v>
      </c>
      <c r="D1527" t="s">
        <v>25</v>
      </c>
    </row>
    <row r="1528" spans="1:4" x14ac:dyDescent="0.2">
      <c r="A1528">
        <v>2020</v>
      </c>
      <c r="B1528">
        <v>426</v>
      </c>
      <c r="C1528" t="s">
        <v>25</v>
      </c>
      <c r="D1528" t="s">
        <v>25</v>
      </c>
    </row>
    <row r="1529" spans="1:4" x14ac:dyDescent="0.2">
      <c r="A1529">
        <v>2019</v>
      </c>
      <c r="B1529">
        <v>426</v>
      </c>
      <c r="C1529" t="s">
        <v>25</v>
      </c>
      <c r="D1529" t="s">
        <v>25</v>
      </c>
    </row>
    <row r="1530" spans="1:4" x14ac:dyDescent="0.2">
      <c r="A1530">
        <v>2018</v>
      </c>
      <c r="B1530">
        <v>426</v>
      </c>
      <c r="C1530" t="s">
        <v>25</v>
      </c>
      <c r="D1530" t="s">
        <v>25</v>
      </c>
    </row>
    <row r="1531" spans="1:4" x14ac:dyDescent="0.2">
      <c r="A1531">
        <v>2017</v>
      </c>
      <c r="B1531">
        <v>426</v>
      </c>
      <c r="C1531" t="s">
        <v>25</v>
      </c>
      <c r="D1531" t="s">
        <v>25</v>
      </c>
    </row>
    <row r="1532" spans="1:4" x14ac:dyDescent="0.2">
      <c r="A1532">
        <v>2016</v>
      </c>
      <c r="B1532">
        <v>426</v>
      </c>
      <c r="C1532" t="s">
        <v>25</v>
      </c>
      <c r="D1532" t="s">
        <v>25</v>
      </c>
    </row>
    <row r="1533" spans="1:4" x14ac:dyDescent="0.2">
      <c r="A1533">
        <v>2015</v>
      </c>
      <c r="B1533">
        <v>426</v>
      </c>
      <c r="C1533" t="s">
        <v>25</v>
      </c>
      <c r="D1533" t="s">
        <v>25</v>
      </c>
    </row>
    <row r="1534" spans="1:4" x14ac:dyDescent="0.2">
      <c r="A1534">
        <v>2014</v>
      </c>
      <c r="B1534">
        <v>426</v>
      </c>
      <c r="C1534" t="s">
        <v>25</v>
      </c>
      <c r="D1534" t="s">
        <v>25</v>
      </c>
    </row>
    <row r="1535" spans="1:4" x14ac:dyDescent="0.2">
      <c r="A1535">
        <v>2013</v>
      </c>
      <c r="B1535">
        <v>426</v>
      </c>
      <c r="C1535" t="s">
        <v>25</v>
      </c>
      <c r="D1535" t="s">
        <v>25</v>
      </c>
    </row>
    <row r="1536" spans="1:4" x14ac:dyDescent="0.2">
      <c r="A1536">
        <v>2012</v>
      </c>
      <c r="B1536">
        <v>426</v>
      </c>
      <c r="C1536" t="s">
        <v>25</v>
      </c>
      <c r="D1536" t="s">
        <v>25</v>
      </c>
    </row>
    <row r="1537" spans="1:4" x14ac:dyDescent="0.2">
      <c r="A1537">
        <v>2011</v>
      </c>
      <c r="B1537">
        <v>426</v>
      </c>
      <c r="C1537" t="s">
        <v>25</v>
      </c>
      <c r="D1537" t="s">
        <v>25</v>
      </c>
    </row>
    <row r="1538" spans="1:4" x14ac:dyDescent="0.2">
      <c r="A1538">
        <v>2010</v>
      </c>
      <c r="B1538">
        <v>426</v>
      </c>
      <c r="C1538">
        <v>0.44000000000000006</v>
      </c>
      <c r="D1538">
        <v>0.55999999999999994</v>
      </c>
    </row>
    <row r="1539" spans="1:4" x14ac:dyDescent="0.2">
      <c r="A1539">
        <v>2009</v>
      </c>
      <c r="B1539">
        <v>426</v>
      </c>
      <c r="C1539" t="s">
        <v>25</v>
      </c>
      <c r="D1539" t="s">
        <v>25</v>
      </c>
    </row>
    <row r="1540" spans="1:4" x14ac:dyDescent="0.2">
      <c r="A1540">
        <v>2008</v>
      </c>
      <c r="B1540">
        <v>426</v>
      </c>
      <c r="C1540" t="s">
        <v>25</v>
      </c>
      <c r="D1540" t="s">
        <v>25</v>
      </c>
    </row>
    <row r="1541" spans="1:4" x14ac:dyDescent="0.2">
      <c r="A1541">
        <v>2007</v>
      </c>
      <c r="B1541">
        <v>426</v>
      </c>
      <c r="C1541" t="s">
        <v>25</v>
      </c>
      <c r="D1541" t="s">
        <v>25</v>
      </c>
    </row>
    <row r="1542" spans="1:4" x14ac:dyDescent="0.2">
      <c r="A1542">
        <v>2006</v>
      </c>
      <c r="B1542">
        <v>426</v>
      </c>
      <c r="C1542" t="s">
        <v>25</v>
      </c>
      <c r="D1542" t="s">
        <v>25</v>
      </c>
    </row>
    <row r="1543" spans="1:4" x14ac:dyDescent="0.2">
      <c r="A1543">
        <v>2005</v>
      </c>
      <c r="B1543">
        <v>426</v>
      </c>
      <c r="C1543" t="s">
        <v>25</v>
      </c>
      <c r="D1543" t="s">
        <v>25</v>
      </c>
    </row>
    <row r="1544" spans="1:4" x14ac:dyDescent="0.2">
      <c r="A1544">
        <v>2004</v>
      </c>
      <c r="B1544">
        <v>426</v>
      </c>
      <c r="C1544" t="s">
        <v>25</v>
      </c>
      <c r="D1544" t="s">
        <v>25</v>
      </c>
    </row>
    <row r="1545" spans="1:4" x14ac:dyDescent="0.2">
      <c r="A1545">
        <v>2003</v>
      </c>
      <c r="B1545">
        <v>426</v>
      </c>
      <c r="C1545" t="s">
        <v>25</v>
      </c>
      <c r="D1545" t="s">
        <v>25</v>
      </c>
    </row>
    <row r="1546" spans="1:4" x14ac:dyDescent="0.2">
      <c r="A1546">
        <v>2002</v>
      </c>
      <c r="B1546">
        <v>426</v>
      </c>
      <c r="C1546" t="s">
        <v>25</v>
      </c>
      <c r="D1546" t="s">
        <v>25</v>
      </c>
    </row>
    <row r="1547" spans="1:4" x14ac:dyDescent="0.2">
      <c r="A1547">
        <v>2001</v>
      </c>
      <c r="B1547">
        <v>426</v>
      </c>
      <c r="C1547" t="s">
        <v>25</v>
      </c>
      <c r="D1547" t="s">
        <v>25</v>
      </c>
    </row>
    <row r="1548" spans="1:4" x14ac:dyDescent="0.2">
      <c r="A1548">
        <v>2000</v>
      </c>
      <c r="B1548">
        <v>426</v>
      </c>
      <c r="C1548" t="s">
        <v>25</v>
      </c>
      <c r="D1548" t="s">
        <v>25</v>
      </c>
    </row>
    <row r="1549" spans="1:4" x14ac:dyDescent="0.2">
      <c r="A1549">
        <v>1999</v>
      </c>
      <c r="B1549">
        <v>426</v>
      </c>
      <c r="C1549" t="s">
        <v>25</v>
      </c>
      <c r="D1549" t="s">
        <v>25</v>
      </c>
    </row>
    <row r="1550" spans="1:4" x14ac:dyDescent="0.2">
      <c r="A1550">
        <v>1998</v>
      </c>
      <c r="B1550">
        <v>426</v>
      </c>
      <c r="C1550" t="s">
        <v>25</v>
      </c>
      <c r="D1550" t="s">
        <v>25</v>
      </c>
    </row>
    <row r="1551" spans="1:4" x14ac:dyDescent="0.2">
      <c r="A1551">
        <v>1997</v>
      </c>
      <c r="B1551">
        <v>426</v>
      </c>
      <c r="C1551" t="s">
        <v>25</v>
      </c>
      <c r="D1551" t="s">
        <v>25</v>
      </c>
    </row>
    <row r="1552" spans="1:4" x14ac:dyDescent="0.2">
      <c r="A1552">
        <v>2021</v>
      </c>
      <c r="B1552">
        <v>427</v>
      </c>
      <c r="C1552">
        <v>0.33468208092485552</v>
      </c>
      <c r="D1552">
        <v>0.66531791907514448</v>
      </c>
    </row>
    <row r="1553" spans="1:4" x14ac:dyDescent="0.2">
      <c r="A1553">
        <v>2020</v>
      </c>
      <c r="B1553">
        <v>427</v>
      </c>
      <c r="C1553">
        <v>0.73034825870646769</v>
      </c>
      <c r="D1553">
        <v>0.26965174129353231</v>
      </c>
    </row>
    <row r="1554" spans="1:4" x14ac:dyDescent="0.2">
      <c r="A1554">
        <v>2019</v>
      </c>
      <c r="B1554">
        <v>427</v>
      </c>
      <c r="C1554" t="s">
        <v>25</v>
      </c>
      <c r="D1554" t="s">
        <v>25</v>
      </c>
    </row>
    <row r="1555" spans="1:4" x14ac:dyDescent="0.2">
      <c r="A1555">
        <v>2018</v>
      </c>
      <c r="B1555">
        <v>427</v>
      </c>
      <c r="C1555" t="s">
        <v>25</v>
      </c>
      <c r="D1555" t="s">
        <v>25</v>
      </c>
    </row>
    <row r="1556" spans="1:4" x14ac:dyDescent="0.2">
      <c r="A1556">
        <v>2017</v>
      </c>
      <c r="B1556">
        <v>427</v>
      </c>
      <c r="C1556">
        <v>0.27973333138613643</v>
      </c>
      <c r="D1556">
        <v>0.72026666861386357</v>
      </c>
    </row>
    <row r="1557" spans="1:4" x14ac:dyDescent="0.2">
      <c r="A1557">
        <v>2016</v>
      </c>
      <c r="B1557">
        <v>427</v>
      </c>
      <c r="C1557">
        <v>0.36967213114754105</v>
      </c>
      <c r="D1557">
        <v>0.63032786885245895</v>
      </c>
    </row>
    <row r="1558" spans="1:4" x14ac:dyDescent="0.2">
      <c r="A1558">
        <v>2015</v>
      </c>
      <c r="B1558">
        <v>427</v>
      </c>
      <c r="C1558">
        <v>0.6354668232530829</v>
      </c>
      <c r="D1558">
        <v>0.3645331767469171</v>
      </c>
    </row>
    <row r="1559" spans="1:4" x14ac:dyDescent="0.2">
      <c r="A1559">
        <v>2014</v>
      </c>
      <c r="B1559">
        <v>427</v>
      </c>
      <c r="C1559">
        <v>0.72291950886766709</v>
      </c>
      <c r="D1559">
        <v>0.27708049113233291</v>
      </c>
    </row>
    <row r="1560" spans="1:4" x14ac:dyDescent="0.2">
      <c r="A1560">
        <v>2013</v>
      </c>
      <c r="B1560">
        <v>427</v>
      </c>
      <c r="C1560" t="s">
        <v>25</v>
      </c>
      <c r="D1560" t="s">
        <v>25</v>
      </c>
    </row>
    <row r="1561" spans="1:4" x14ac:dyDescent="0.2">
      <c r="A1561">
        <v>2012</v>
      </c>
      <c r="B1561">
        <v>427</v>
      </c>
      <c r="C1561" t="s">
        <v>25</v>
      </c>
      <c r="D1561" t="s">
        <v>25</v>
      </c>
    </row>
    <row r="1562" spans="1:4" x14ac:dyDescent="0.2">
      <c r="A1562">
        <v>2011</v>
      </c>
      <c r="B1562">
        <v>427</v>
      </c>
      <c r="C1562">
        <v>0.3985611510791367</v>
      </c>
      <c r="D1562">
        <v>0.6014388489208633</v>
      </c>
    </row>
    <row r="1563" spans="1:4" x14ac:dyDescent="0.2">
      <c r="A1563">
        <v>2010</v>
      </c>
      <c r="B1563">
        <v>427</v>
      </c>
      <c r="C1563" t="s">
        <v>25</v>
      </c>
      <c r="D1563" t="s">
        <v>25</v>
      </c>
    </row>
    <row r="1564" spans="1:4" x14ac:dyDescent="0.2">
      <c r="A1564">
        <v>2009</v>
      </c>
      <c r="B1564">
        <v>427</v>
      </c>
      <c r="C1564">
        <v>0.51213872832369944</v>
      </c>
      <c r="D1564">
        <v>0.48786127167630056</v>
      </c>
    </row>
    <row r="1565" spans="1:4" x14ac:dyDescent="0.2">
      <c r="A1565">
        <v>2008</v>
      </c>
      <c r="B1565">
        <v>427</v>
      </c>
      <c r="C1565">
        <v>0.4935749588138385</v>
      </c>
      <c r="D1565">
        <v>0.5064250411861615</v>
      </c>
    </row>
    <row r="1566" spans="1:4" x14ac:dyDescent="0.2">
      <c r="A1566">
        <v>2007</v>
      </c>
      <c r="B1566">
        <v>427</v>
      </c>
      <c r="C1566" t="s">
        <v>25</v>
      </c>
      <c r="D1566" t="s">
        <v>25</v>
      </c>
    </row>
    <row r="1567" spans="1:4" x14ac:dyDescent="0.2">
      <c r="A1567">
        <v>2006</v>
      </c>
      <c r="B1567">
        <v>427</v>
      </c>
      <c r="C1567" t="s">
        <v>25</v>
      </c>
      <c r="D1567" t="s">
        <v>25</v>
      </c>
    </row>
    <row r="1568" spans="1:4" x14ac:dyDescent="0.2">
      <c r="A1568">
        <v>2005</v>
      </c>
      <c r="B1568">
        <v>427</v>
      </c>
      <c r="C1568" t="s">
        <v>25</v>
      </c>
      <c r="D1568" t="s">
        <v>25</v>
      </c>
    </row>
    <row r="1569" spans="1:4" x14ac:dyDescent="0.2">
      <c r="A1569">
        <v>2004</v>
      </c>
      <c r="B1569">
        <v>427</v>
      </c>
      <c r="C1569" t="s">
        <v>25</v>
      </c>
      <c r="D1569" t="s">
        <v>25</v>
      </c>
    </row>
    <row r="1570" spans="1:4" x14ac:dyDescent="0.2">
      <c r="A1570">
        <v>2003</v>
      </c>
      <c r="B1570">
        <v>427</v>
      </c>
      <c r="C1570" t="s">
        <v>25</v>
      </c>
      <c r="D1570" t="s">
        <v>25</v>
      </c>
    </row>
    <row r="1571" spans="1:4" x14ac:dyDescent="0.2">
      <c r="A1571">
        <v>2002</v>
      </c>
      <c r="B1571">
        <v>427</v>
      </c>
      <c r="C1571" t="s">
        <v>25</v>
      </c>
      <c r="D1571" t="s">
        <v>25</v>
      </c>
    </row>
    <row r="1572" spans="1:4" x14ac:dyDescent="0.2">
      <c r="A1572">
        <v>2001</v>
      </c>
      <c r="B1572">
        <v>427</v>
      </c>
      <c r="C1572" t="s">
        <v>25</v>
      </c>
      <c r="D1572" t="s">
        <v>25</v>
      </c>
    </row>
    <row r="1573" spans="1:4" x14ac:dyDescent="0.2">
      <c r="A1573">
        <v>2000</v>
      </c>
      <c r="B1573">
        <v>427</v>
      </c>
      <c r="C1573" t="s">
        <v>25</v>
      </c>
      <c r="D1573" t="s">
        <v>25</v>
      </c>
    </row>
    <row r="1574" spans="1:4" x14ac:dyDescent="0.2">
      <c r="A1574">
        <v>1999</v>
      </c>
      <c r="B1574">
        <v>427</v>
      </c>
      <c r="C1574" t="s">
        <v>25</v>
      </c>
      <c r="D1574" t="s">
        <v>25</v>
      </c>
    </row>
    <row r="1575" spans="1:4" x14ac:dyDescent="0.2">
      <c r="A1575">
        <v>1998</v>
      </c>
      <c r="B1575">
        <v>427</v>
      </c>
      <c r="C1575" t="s">
        <v>25</v>
      </c>
      <c r="D1575" t="s">
        <v>25</v>
      </c>
    </row>
    <row r="1576" spans="1:4" x14ac:dyDescent="0.2">
      <c r="A1576">
        <v>1997</v>
      </c>
      <c r="B1576">
        <v>427</v>
      </c>
      <c r="C1576">
        <v>0.46666666666666667</v>
      </c>
      <c r="D1576">
        <v>0.53333333333333333</v>
      </c>
    </row>
    <row r="1577" spans="1:4" x14ac:dyDescent="0.2">
      <c r="A1577">
        <v>2021</v>
      </c>
      <c r="B1577">
        <v>428</v>
      </c>
      <c r="C1577" t="s">
        <v>25</v>
      </c>
      <c r="D1577" t="s">
        <v>25</v>
      </c>
    </row>
    <row r="1578" spans="1:4" x14ac:dyDescent="0.2">
      <c r="A1578">
        <v>2020</v>
      </c>
      <c r="B1578">
        <v>428</v>
      </c>
      <c r="C1578" t="s">
        <v>25</v>
      </c>
      <c r="D1578" t="s">
        <v>25</v>
      </c>
    </row>
    <row r="1579" spans="1:4" x14ac:dyDescent="0.2">
      <c r="A1579">
        <v>2019</v>
      </c>
      <c r="B1579">
        <v>428</v>
      </c>
      <c r="C1579" t="s">
        <v>25</v>
      </c>
      <c r="D1579" t="s">
        <v>25</v>
      </c>
    </row>
    <row r="1580" spans="1:4" x14ac:dyDescent="0.2">
      <c r="A1580">
        <v>2018</v>
      </c>
      <c r="B1580">
        <v>428</v>
      </c>
      <c r="C1580" t="s">
        <v>25</v>
      </c>
      <c r="D1580" t="s">
        <v>25</v>
      </c>
    </row>
    <row r="1581" spans="1:4" x14ac:dyDescent="0.2">
      <c r="A1581">
        <v>2017</v>
      </c>
      <c r="B1581">
        <v>428</v>
      </c>
      <c r="C1581" t="s">
        <v>25</v>
      </c>
      <c r="D1581" t="s">
        <v>25</v>
      </c>
    </row>
    <row r="1582" spans="1:4" x14ac:dyDescent="0.2">
      <c r="A1582">
        <v>2016</v>
      </c>
      <c r="B1582">
        <v>428</v>
      </c>
      <c r="C1582" t="s">
        <v>25</v>
      </c>
      <c r="D1582" t="s">
        <v>25</v>
      </c>
    </row>
    <row r="1583" spans="1:4" x14ac:dyDescent="0.2">
      <c r="A1583">
        <v>2015</v>
      </c>
      <c r="B1583">
        <v>428</v>
      </c>
      <c r="C1583" t="s">
        <v>25</v>
      </c>
      <c r="D1583" t="s">
        <v>25</v>
      </c>
    </row>
    <row r="1584" spans="1:4" x14ac:dyDescent="0.2">
      <c r="A1584">
        <v>2014</v>
      </c>
      <c r="B1584">
        <v>428</v>
      </c>
      <c r="C1584" t="s">
        <v>25</v>
      </c>
      <c r="D1584" t="s">
        <v>25</v>
      </c>
    </row>
    <row r="1585" spans="1:4" x14ac:dyDescent="0.2">
      <c r="A1585">
        <v>2013</v>
      </c>
      <c r="B1585">
        <v>428</v>
      </c>
      <c r="C1585" t="s">
        <v>25</v>
      </c>
      <c r="D1585" t="s">
        <v>25</v>
      </c>
    </row>
    <row r="1586" spans="1:4" x14ac:dyDescent="0.2">
      <c r="A1586">
        <v>2012</v>
      </c>
      <c r="B1586">
        <v>428</v>
      </c>
      <c r="C1586" t="s">
        <v>25</v>
      </c>
      <c r="D1586" t="s">
        <v>25</v>
      </c>
    </row>
    <row r="1587" spans="1:4" x14ac:dyDescent="0.2">
      <c r="A1587">
        <v>2011</v>
      </c>
      <c r="B1587">
        <v>428</v>
      </c>
      <c r="C1587" t="s">
        <v>25</v>
      </c>
      <c r="D1587" t="s">
        <v>25</v>
      </c>
    </row>
    <row r="1588" spans="1:4" x14ac:dyDescent="0.2">
      <c r="A1588">
        <v>2010</v>
      </c>
      <c r="B1588">
        <v>428</v>
      </c>
      <c r="C1588">
        <v>0.56827586206896552</v>
      </c>
      <c r="D1588">
        <v>0.43172413793103448</v>
      </c>
    </row>
    <row r="1589" spans="1:4" x14ac:dyDescent="0.2">
      <c r="A1589">
        <v>2009</v>
      </c>
      <c r="B1589">
        <v>428</v>
      </c>
      <c r="C1589" t="s">
        <v>25</v>
      </c>
      <c r="D1589" t="s">
        <v>25</v>
      </c>
    </row>
    <row r="1590" spans="1:4" x14ac:dyDescent="0.2">
      <c r="A1590">
        <v>2008</v>
      </c>
      <c r="B1590">
        <v>428</v>
      </c>
      <c r="C1590" t="s">
        <v>25</v>
      </c>
      <c r="D1590" t="s">
        <v>25</v>
      </c>
    </row>
    <row r="1591" spans="1:4" x14ac:dyDescent="0.2">
      <c r="A1591">
        <v>2007</v>
      </c>
      <c r="B1591">
        <v>428</v>
      </c>
      <c r="C1591" t="s">
        <v>25</v>
      </c>
      <c r="D1591" t="s">
        <v>25</v>
      </c>
    </row>
    <row r="1592" spans="1:4" x14ac:dyDescent="0.2">
      <c r="A1592">
        <v>2006</v>
      </c>
      <c r="B1592">
        <v>428</v>
      </c>
      <c r="C1592" t="s">
        <v>25</v>
      </c>
      <c r="D1592" t="s">
        <v>25</v>
      </c>
    </row>
    <row r="1593" spans="1:4" x14ac:dyDescent="0.2">
      <c r="A1593">
        <v>2005</v>
      </c>
      <c r="B1593">
        <v>428</v>
      </c>
      <c r="C1593">
        <v>0.52542372881355937</v>
      </c>
      <c r="D1593">
        <v>0.47457627118644063</v>
      </c>
    </row>
    <row r="1594" spans="1:4" x14ac:dyDescent="0.2">
      <c r="A1594">
        <v>2004</v>
      </c>
      <c r="B1594">
        <v>428</v>
      </c>
      <c r="C1594" t="s">
        <v>25</v>
      </c>
      <c r="D1594" t="s">
        <v>25</v>
      </c>
    </row>
    <row r="1595" spans="1:4" x14ac:dyDescent="0.2">
      <c r="A1595">
        <v>2003</v>
      </c>
      <c r="B1595">
        <v>428</v>
      </c>
      <c r="C1595">
        <v>0.32462686567164178</v>
      </c>
      <c r="D1595">
        <v>0.67537313432835822</v>
      </c>
    </row>
    <row r="1596" spans="1:4" x14ac:dyDescent="0.2">
      <c r="A1596">
        <v>2002</v>
      </c>
      <c r="B1596">
        <v>428</v>
      </c>
      <c r="C1596" t="s">
        <v>25</v>
      </c>
      <c r="D1596" t="s">
        <v>25</v>
      </c>
    </row>
    <row r="1597" spans="1:4" x14ac:dyDescent="0.2">
      <c r="A1597">
        <v>2001</v>
      </c>
      <c r="B1597">
        <v>428</v>
      </c>
      <c r="C1597">
        <v>0.74927113702623904</v>
      </c>
      <c r="D1597">
        <v>0.25072886297376096</v>
      </c>
    </row>
    <row r="1598" spans="1:4" x14ac:dyDescent="0.2">
      <c r="A1598">
        <v>2000</v>
      </c>
      <c r="B1598">
        <v>428</v>
      </c>
      <c r="C1598">
        <v>0.68670520231213872</v>
      </c>
      <c r="D1598">
        <v>0.31329479768786128</v>
      </c>
    </row>
    <row r="1599" spans="1:4" x14ac:dyDescent="0.2">
      <c r="A1599">
        <v>1999</v>
      </c>
      <c r="B1599">
        <v>428</v>
      </c>
      <c r="C1599" t="s">
        <v>25</v>
      </c>
      <c r="D1599" t="s">
        <v>25</v>
      </c>
    </row>
    <row r="1600" spans="1:4" x14ac:dyDescent="0.2">
      <c r="A1600">
        <v>1998</v>
      </c>
      <c r="B1600">
        <v>428</v>
      </c>
      <c r="C1600" t="s">
        <v>25</v>
      </c>
      <c r="D1600" t="s">
        <v>25</v>
      </c>
    </row>
    <row r="1601" spans="1:4" x14ac:dyDescent="0.2">
      <c r="A1601">
        <v>1997</v>
      </c>
      <c r="B1601">
        <v>428</v>
      </c>
      <c r="C1601" t="s">
        <v>25</v>
      </c>
      <c r="D1601" t="s">
        <v>25</v>
      </c>
    </row>
    <row r="1602" spans="1:4" x14ac:dyDescent="0.2">
      <c r="A1602">
        <v>2021</v>
      </c>
      <c r="B1602">
        <v>429</v>
      </c>
      <c r="C1602">
        <v>0.54779083907580062</v>
      </c>
      <c r="D1602">
        <v>0.45220916092419938</v>
      </c>
    </row>
    <row r="1603" spans="1:4" x14ac:dyDescent="0.2">
      <c r="A1603">
        <v>2020</v>
      </c>
      <c r="B1603">
        <v>429</v>
      </c>
      <c r="C1603">
        <v>0.68039847641371221</v>
      </c>
      <c r="D1603">
        <v>0.31960152358628779</v>
      </c>
    </row>
    <row r="1604" spans="1:4" x14ac:dyDescent="0.2">
      <c r="A1604">
        <v>2019</v>
      </c>
      <c r="B1604">
        <v>429</v>
      </c>
      <c r="C1604">
        <v>0.65864909390444826</v>
      </c>
      <c r="D1604">
        <v>0.34135090609555174</v>
      </c>
    </row>
    <row r="1605" spans="1:4" x14ac:dyDescent="0.2">
      <c r="A1605">
        <v>2018</v>
      </c>
      <c r="B1605">
        <v>429</v>
      </c>
      <c r="C1605">
        <v>0.47994056463595841</v>
      </c>
      <c r="D1605">
        <v>0.52005943536404153</v>
      </c>
    </row>
    <row r="1606" spans="1:4" x14ac:dyDescent="0.2">
      <c r="A1606">
        <v>2017</v>
      </c>
      <c r="B1606">
        <v>429</v>
      </c>
      <c r="C1606">
        <v>0.44526930974569578</v>
      </c>
      <c r="D1606">
        <v>0.55473069025430422</v>
      </c>
    </row>
    <row r="1607" spans="1:4" x14ac:dyDescent="0.2">
      <c r="A1607">
        <v>2016</v>
      </c>
      <c r="B1607">
        <v>429</v>
      </c>
      <c r="C1607">
        <v>0.37172966137417451</v>
      </c>
      <c r="D1607">
        <v>0.62827033862582549</v>
      </c>
    </row>
    <row r="1608" spans="1:4" x14ac:dyDescent="0.2">
      <c r="A1608">
        <v>2015</v>
      </c>
      <c r="B1608">
        <v>429</v>
      </c>
      <c r="C1608">
        <v>0.57929984779299848</v>
      </c>
      <c r="D1608">
        <v>0.42070015220700152</v>
      </c>
    </row>
    <row r="1609" spans="1:4" x14ac:dyDescent="0.2">
      <c r="A1609">
        <v>2014</v>
      </c>
      <c r="B1609">
        <v>429</v>
      </c>
      <c r="C1609">
        <v>0.39423076923076927</v>
      </c>
      <c r="D1609">
        <v>0.60576923076923073</v>
      </c>
    </row>
    <row r="1610" spans="1:4" x14ac:dyDescent="0.2">
      <c r="A1610">
        <v>2013</v>
      </c>
      <c r="B1610">
        <v>429</v>
      </c>
      <c r="C1610">
        <v>0.45199326221224034</v>
      </c>
      <c r="D1610">
        <v>0.54800673778775966</v>
      </c>
    </row>
    <row r="1611" spans="1:4" x14ac:dyDescent="0.2">
      <c r="A1611">
        <v>2012</v>
      </c>
      <c r="B1611">
        <v>429</v>
      </c>
      <c r="C1611">
        <v>0.6691766652875466</v>
      </c>
      <c r="D1611">
        <v>0.3308233347124534</v>
      </c>
    </row>
    <row r="1612" spans="1:4" x14ac:dyDescent="0.2">
      <c r="A1612">
        <v>2011</v>
      </c>
      <c r="B1612">
        <v>429</v>
      </c>
      <c r="C1612">
        <v>0.77633205769796887</v>
      </c>
      <c r="D1612">
        <v>0.22366794230203113</v>
      </c>
    </row>
    <row r="1613" spans="1:4" x14ac:dyDescent="0.2">
      <c r="A1613">
        <v>2010</v>
      </c>
      <c r="B1613">
        <v>429</v>
      </c>
      <c r="C1613">
        <v>0.32671232876712331</v>
      </c>
      <c r="D1613">
        <v>0.67328767123287669</v>
      </c>
    </row>
    <row r="1614" spans="1:4" x14ac:dyDescent="0.2">
      <c r="A1614">
        <v>2009</v>
      </c>
      <c r="B1614">
        <v>429</v>
      </c>
      <c r="C1614">
        <v>0.4711560256894598</v>
      </c>
      <c r="D1614">
        <v>0.5288439743105402</v>
      </c>
    </row>
    <row r="1615" spans="1:4" x14ac:dyDescent="0.2">
      <c r="A1615">
        <v>2008</v>
      </c>
      <c r="B1615">
        <v>429</v>
      </c>
      <c r="C1615">
        <v>0.70058445353594401</v>
      </c>
      <c r="D1615">
        <v>0.29941554646405599</v>
      </c>
    </row>
    <row r="1616" spans="1:4" x14ac:dyDescent="0.2">
      <c r="A1616">
        <v>2007</v>
      </c>
      <c r="B1616">
        <v>429</v>
      </c>
      <c r="C1616">
        <v>0.41564885496183213</v>
      </c>
      <c r="D1616">
        <v>0.58435114503816787</v>
      </c>
    </row>
    <row r="1617" spans="1:4" x14ac:dyDescent="0.2">
      <c r="A1617">
        <v>2006</v>
      </c>
      <c r="B1617">
        <v>429</v>
      </c>
      <c r="C1617">
        <v>0.27365836548579447</v>
      </c>
      <c r="D1617">
        <v>0.72634163451420553</v>
      </c>
    </row>
    <row r="1618" spans="1:4" x14ac:dyDescent="0.2">
      <c r="A1618">
        <v>2005</v>
      </c>
      <c r="B1618">
        <v>429</v>
      </c>
      <c r="C1618">
        <v>0.66033916849015317</v>
      </c>
      <c r="D1618">
        <v>0.33966083150984683</v>
      </c>
    </row>
    <row r="1619" spans="1:4" x14ac:dyDescent="0.2">
      <c r="A1619">
        <v>2004</v>
      </c>
      <c r="B1619">
        <v>429</v>
      </c>
      <c r="C1619">
        <v>0.57673469387755094</v>
      </c>
      <c r="D1619">
        <v>0.42326530612244906</v>
      </c>
    </row>
    <row r="1620" spans="1:4" x14ac:dyDescent="0.2">
      <c r="A1620">
        <v>2003</v>
      </c>
      <c r="B1620">
        <v>429</v>
      </c>
      <c r="C1620">
        <v>0.45269230769230773</v>
      </c>
      <c r="D1620">
        <v>0.54730769230769227</v>
      </c>
    </row>
    <row r="1621" spans="1:4" x14ac:dyDescent="0.2">
      <c r="A1621">
        <v>2002</v>
      </c>
      <c r="B1621">
        <v>429</v>
      </c>
      <c r="C1621">
        <v>0.71667496266799402</v>
      </c>
      <c r="D1621">
        <v>0.28332503733200598</v>
      </c>
    </row>
    <row r="1622" spans="1:4" x14ac:dyDescent="0.2">
      <c r="A1622">
        <v>2001</v>
      </c>
      <c r="B1622">
        <v>429</v>
      </c>
      <c r="C1622">
        <v>0.75602605863192185</v>
      </c>
      <c r="D1622">
        <v>0.24397394136807815</v>
      </c>
    </row>
    <row r="1623" spans="1:4" x14ac:dyDescent="0.2">
      <c r="A1623">
        <v>2000</v>
      </c>
      <c r="B1623">
        <v>429</v>
      </c>
      <c r="C1623">
        <v>0.37629870129870135</v>
      </c>
      <c r="D1623">
        <v>0.62370129870129865</v>
      </c>
    </row>
    <row r="1624" spans="1:4" x14ac:dyDescent="0.2">
      <c r="A1624">
        <v>1999</v>
      </c>
      <c r="B1624">
        <v>429</v>
      </c>
      <c r="C1624">
        <v>0.38586956521739135</v>
      </c>
      <c r="D1624">
        <v>0.61413043478260865</v>
      </c>
    </row>
    <row r="1625" spans="1:4" x14ac:dyDescent="0.2">
      <c r="A1625">
        <v>1998</v>
      </c>
      <c r="B1625">
        <v>429</v>
      </c>
      <c r="C1625" t="s">
        <v>25</v>
      </c>
      <c r="D1625" t="s">
        <v>25</v>
      </c>
    </row>
    <row r="1626" spans="1:4" x14ac:dyDescent="0.2">
      <c r="A1626">
        <v>1997</v>
      </c>
      <c r="B1626">
        <v>429</v>
      </c>
      <c r="C1626">
        <v>0.50600000000000001</v>
      </c>
      <c r="D1626">
        <v>0.49399999999999999</v>
      </c>
    </row>
    <row r="1627" spans="1:4" x14ac:dyDescent="0.2">
      <c r="A1627">
        <v>2021</v>
      </c>
      <c r="B1627">
        <v>500</v>
      </c>
      <c r="C1627">
        <v>0.54560480841472581</v>
      </c>
      <c r="D1627">
        <v>0.45439519158527419</v>
      </c>
    </row>
    <row r="1628" spans="1:4" x14ac:dyDescent="0.2">
      <c r="A1628">
        <v>2020</v>
      </c>
      <c r="B1628">
        <v>500</v>
      </c>
      <c r="C1628">
        <v>0.55797101449275366</v>
      </c>
      <c r="D1628">
        <v>0.44202898550724634</v>
      </c>
    </row>
    <row r="1629" spans="1:4" x14ac:dyDescent="0.2">
      <c r="A1629">
        <v>2019</v>
      </c>
      <c r="B1629">
        <v>500</v>
      </c>
      <c r="C1629">
        <v>0.54373913043478261</v>
      </c>
      <c r="D1629">
        <v>0.45626086956521739</v>
      </c>
    </row>
    <row r="1630" spans="1:4" x14ac:dyDescent="0.2">
      <c r="A1630">
        <v>2018</v>
      </c>
      <c r="B1630">
        <v>500</v>
      </c>
      <c r="C1630">
        <v>0.51056131019036954</v>
      </c>
      <c r="D1630">
        <v>0.48943868980963046</v>
      </c>
    </row>
    <row r="1631" spans="1:4" x14ac:dyDescent="0.2">
      <c r="A1631">
        <v>2017</v>
      </c>
      <c r="B1631">
        <v>500</v>
      </c>
      <c r="C1631">
        <v>0.4591683458508885</v>
      </c>
      <c r="D1631">
        <v>0.5408316541491115</v>
      </c>
    </row>
    <row r="1632" spans="1:4" x14ac:dyDescent="0.2">
      <c r="A1632">
        <v>2016</v>
      </c>
      <c r="B1632">
        <v>500</v>
      </c>
      <c r="C1632">
        <v>0.58169937839557539</v>
      </c>
      <c r="D1632">
        <v>0.41830062160442461</v>
      </c>
    </row>
    <row r="1633" spans="1:4" x14ac:dyDescent="0.2">
      <c r="A1633">
        <v>2015</v>
      </c>
      <c r="B1633">
        <v>500</v>
      </c>
      <c r="C1633">
        <v>0.54045128758087024</v>
      </c>
      <c r="D1633">
        <v>0.45954871241912976</v>
      </c>
    </row>
    <row r="1634" spans="1:4" x14ac:dyDescent="0.2">
      <c r="A1634">
        <v>2014</v>
      </c>
      <c r="B1634">
        <v>500</v>
      </c>
      <c r="C1634">
        <v>0.54732128578282424</v>
      </c>
      <c r="D1634">
        <v>0.45267871421717576</v>
      </c>
    </row>
    <row r="1635" spans="1:4" x14ac:dyDescent="0.2">
      <c r="A1635">
        <v>2013</v>
      </c>
      <c r="B1635">
        <v>500</v>
      </c>
      <c r="C1635">
        <v>0.54837394123183103</v>
      </c>
      <c r="D1635">
        <v>0.45162605876816897</v>
      </c>
    </row>
    <row r="1636" spans="1:4" x14ac:dyDescent="0.2">
      <c r="A1636">
        <v>2012</v>
      </c>
      <c r="B1636">
        <v>500</v>
      </c>
      <c r="C1636">
        <v>0.56446792603299611</v>
      </c>
      <c r="D1636">
        <v>0.43553207396700389</v>
      </c>
    </row>
    <row r="1637" spans="1:4" x14ac:dyDescent="0.2">
      <c r="A1637">
        <v>2011</v>
      </c>
      <c r="B1637">
        <v>500</v>
      </c>
      <c r="C1637">
        <v>0.6201217916281343</v>
      </c>
      <c r="D1637">
        <v>0.3798782083718657</v>
      </c>
    </row>
    <row r="1638" spans="1:4" x14ac:dyDescent="0.2">
      <c r="A1638">
        <v>2010</v>
      </c>
      <c r="B1638">
        <v>500</v>
      </c>
      <c r="C1638">
        <v>0.52720141224111883</v>
      </c>
      <c r="D1638">
        <v>0.47279858775888117</v>
      </c>
    </row>
    <row r="1639" spans="1:4" x14ac:dyDescent="0.2">
      <c r="A1639">
        <v>2009</v>
      </c>
      <c r="B1639">
        <v>500</v>
      </c>
      <c r="C1639">
        <v>0.55332309937841317</v>
      </c>
      <c r="D1639">
        <v>0.44667690062158683</v>
      </c>
    </row>
    <row r="1640" spans="1:4" x14ac:dyDescent="0.2">
      <c r="A1640">
        <v>2008</v>
      </c>
      <c r="B1640">
        <v>500</v>
      </c>
      <c r="C1640">
        <v>0.52265090230242683</v>
      </c>
      <c r="D1640">
        <v>0.47734909769757317</v>
      </c>
    </row>
    <row r="1641" spans="1:4" x14ac:dyDescent="0.2">
      <c r="A1641">
        <v>2007</v>
      </c>
      <c r="B1641">
        <v>500</v>
      </c>
      <c r="C1641">
        <v>0.53397795011862281</v>
      </c>
      <c r="D1641">
        <v>0.46602204988137719</v>
      </c>
    </row>
    <row r="1642" spans="1:4" x14ac:dyDescent="0.2">
      <c r="A1642">
        <v>2006</v>
      </c>
      <c r="B1642">
        <v>500</v>
      </c>
      <c r="C1642">
        <v>0.49389922422233945</v>
      </c>
      <c r="D1642">
        <v>0.50610077577766055</v>
      </c>
    </row>
    <row r="1643" spans="1:4" x14ac:dyDescent="0.2">
      <c r="A1643">
        <v>2005</v>
      </c>
      <c r="B1643">
        <v>500</v>
      </c>
      <c r="C1643">
        <v>0.54415471189664744</v>
      </c>
      <c r="D1643">
        <v>0.45584528810335256</v>
      </c>
    </row>
    <row r="1644" spans="1:4" x14ac:dyDescent="0.2">
      <c r="A1644">
        <v>2004</v>
      </c>
      <c r="B1644">
        <v>500</v>
      </c>
      <c r="C1644">
        <v>0.56404089897752563</v>
      </c>
      <c r="D1644">
        <v>0.43595910102247437</v>
      </c>
    </row>
    <row r="1645" spans="1:4" x14ac:dyDescent="0.2">
      <c r="A1645">
        <v>2003</v>
      </c>
      <c r="B1645">
        <v>500</v>
      </c>
      <c r="C1645">
        <v>0.69376310393290797</v>
      </c>
      <c r="D1645">
        <v>0.30623689606709203</v>
      </c>
    </row>
    <row r="1646" spans="1:4" x14ac:dyDescent="0.2">
      <c r="A1646">
        <v>2002</v>
      </c>
      <c r="B1646">
        <v>500</v>
      </c>
      <c r="C1646">
        <v>0.67142384349488859</v>
      </c>
      <c r="D1646">
        <v>0.32857615650511141</v>
      </c>
    </row>
    <row r="1647" spans="1:4" x14ac:dyDescent="0.2">
      <c r="A1647">
        <v>2001</v>
      </c>
      <c r="B1647">
        <v>500</v>
      </c>
      <c r="C1647">
        <v>0.68426800472255012</v>
      </c>
      <c r="D1647">
        <v>0.31573199527744988</v>
      </c>
    </row>
    <row r="1648" spans="1:4" x14ac:dyDescent="0.2">
      <c r="A1648">
        <v>2000</v>
      </c>
      <c r="B1648">
        <v>500</v>
      </c>
      <c r="C1648">
        <v>0.68089112849754674</v>
      </c>
      <c r="D1648">
        <v>0.31910887150245326</v>
      </c>
    </row>
    <row r="1649" spans="1:4" x14ac:dyDescent="0.2">
      <c r="A1649">
        <v>1999</v>
      </c>
      <c r="B1649">
        <v>500</v>
      </c>
      <c r="C1649">
        <v>0.66980510568213014</v>
      </c>
      <c r="D1649">
        <v>0.33019489431786986</v>
      </c>
    </row>
    <row r="1650" spans="1:4" x14ac:dyDescent="0.2">
      <c r="A1650">
        <v>1998</v>
      </c>
      <c r="B1650">
        <v>500</v>
      </c>
      <c r="C1650">
        <v>0.76223572296476305</v>
      </c>
      <c r="D1650">
        <v>0.23776427703523695</v>
      </c>
    </row>
    <row r="1651" spans="1:4" x14ac:dyDescent="0.2">
      <c r="A1651">
        <v>1997</v>
      </c>
      <c r="B1651">
        <v>500</v>
      </c>
      <c r="C1651">
        <v>0.75444821288807729</v>
      </c>
      <c r="D1651">
        <v>0.24555178711192271</v>
      </c>
    </row>
    <row r="1652" spans="1:4" x14ac:dyDescent="0.2">
      <c r="A1652">
        <v>2021</v>
      </c>
      <c r="B1652">
        <v>501</v>
      </c>
      <c r="C1652">
        <v>0.46257381197862979</v>
      </c>
      <c r="D1652">
        <v>0.53742618802137021</v>
      </c>
    </row>
    <row r="1653" spans="1:4" x14ac:dyDescent="0.2">
      <c r="A1653">
        <v>2020</v>
      </c>
      <c r="B1653">
        <v>501</v>
      </c>
      <c r="C1653">
        <v>0.44190973442441883</v>
      </c>
      <c r="D1653">
        <v>0.55809026557558117</v>
      </c>
    </row>
    <row r="1654" spans="1:4" x14ac:dyDescent="0.2">
      <c r="A1654">
        <v>2019</v>
      </c>
      <c r="B1654">
        <v>501</v>
      </c>
      <c r="C1654">
        <v>0.2621299397186872</v>
      </c>
      <c r="D1654">
        <v>0.73787006028131286</v>
      </c>
    </row>
    <row r="1655" spans="1:4" x14ac:dyDescent="0.2">
      <c r="A1655">
        <v>2018</v>
      </c>
      <c r="B1655">
        <v>501</v>
      </c>
      <c r="C1655">
        <v>0.26065979381443305</v>
      </c>
      <c r="D1655">
        <v>0.73934020618556695</v>
      </c>
    </row>
    <row r="1656" spans="1:4" x14ac:dyDescent="0.2">
      <c r="A1656">
        <v>2017</v>
      </c>
      <c r="B1656">
        <v>501</v>
      </c>
      <c r="C1656" t="s">
        <v>25</v>
      </c>
      <c r="D1656" t="s">
        <v>25</v>
      </c>
    </row>
    <row r="1657" spans="1:4" x14ac:dyDescent="0.2">
      <c r="A1657">
        <v>2016</v>
      </c>
      <c r="B1657">
        <v>501</v>
      </c>
      <c r="C1657">
        <v>0.38009680258140222</v>
      </c>
      <c r="D1657">
        <v>0.61990319741859778</v>
      </c>
    </row>
    <row r="1658" spans="1:4" x14ac:dyDescent="0.2">
      <c r="A1658">
        <v>2015</v>
      </c>
      <c r="B1658">
        <v>501</v>
      </c>
      <c r="C1658">
        <v>0.56588810930576083</v>
      </c>
      <c r="D1658">
        <v>0.43411189069423917</v>
      </c>
    </row>
    <row r="1659" spans="1:4" x14ac:dyDescent="0.2">
      <c r="A1659">
        <v>2014</v>
      </c>
      <c r="B1659">
        <v>501</v>
      </c>
      <c r="C1659">
        <v>0.28604294478527609</v>
      </c>
      <c r="D1659">
        <v>0.71395705521472386</v>
      </c>
    </row>
    <row r="1660" spans="1:4" x14ac:dyDescent="0.2">
      <c r="A1660">
        <v>2013</v>
      </c>
      <c r="B1660">
        <v>501</v>
      </c>
      <c r="C1660">
        <v>0.34895092966395636</v>
      </c>
      <c r="D1660">
        <v>0.65104907033604364</v>
      </c>
    </row>
    <row r="1661" spans="1:4" x14ac:dyDescent="0.2">
      <c r="A1661">
        <v>2012</v>
      </c>
      <c r="B1661">
        <v>501</v>
      </c>
      <c r="C1661">
        <v>0.39778332984800291</v>
      </c>
      <c r="D1661">
        <v>0.60221667015199709</v>
      </c>
    </row>
    <row r="1662" spans="1:4" x14ac:dyDescent="0.2">
      <c r="A1662">
        <v>2011</v>
      </c>
      <c r="B1662">
        <v>501</v>
      </c>
      <c r="C1662">
        <v>0.42589865365343565</v>
      </c>
      <c r="D1662">
        <v>0.57410134634656429</v>
      </c>
    </row>
    <row r="1663" spans="1:4" x14ac:dyDescent="0.2">
      <c r="A1663">
        <v>2010</v>
      </c>
      <c r="B1663">
        <v>501</v>
      </c>
      <c r="C1663">
        <v>0.45560165975103734</v>
      </c>
      <c r="D1663">
        <v>0.54439834024896272</v>
      </c>
    </row>
    <row r="1664" spans="1:4" x14ac:dyDescent="0.2">
      <c r="A1664">
        <v>2009</v>
      </c>
      <c r="B1664">
        <v>501</v>
      </c>
      <c r="C1664">
        <v>0.43432254408952475</v>
      </c>
      <c r="D1664">
        <v>0.56567745591047525</v>
      </c>
    </row>
    <row r="1665" spans="1:4" x14ac:dyDescent="0.2">
      <c r="A1665">
        <v>2008</v>
      </c>
      <c r="B1665">
        <v>501</v>
      </c>
      <c r="C1665" t="s">
        <v>25</v>
      </c>
      <c r="D1665" t="s">
        <v>25</v>
      </c>
    </row>
    <row r="1666" spans="1:4" x14ac:dyDescent="0.2">
      <c r="A1666">
        <v>2007</v>
      </c>
      <c r="B1666">
        <v>501</v>
      </c>
      <c r="C1666">
        <v>0.333944056566016</v>
      </c>
      <c r="D1666">
        <v>0.666055943433984</v>
      </c>
    </row>
    <row r="1667" spans="1:4" x14ac:dyDescent="0.2">
      <c r="A1667">
        <v>2006</v>
      </c>
      <c r="B1667">
        <v>501</v>
      </c>
      <c r="C1667" t="s">
        <v>25</v>
      </c>
      <c r="D1667" t="s">
        <v>25</v>
      </c>
    </row>
    <row r="1668" spans="1:4" x14ac:dyDescent="0.2">
      <c r="A1668">
        <v>2005</v>
      </c>
      <c r="B1668">
        <v>501</v>
      </c>
      <c r="C1668">
        <v>0.31210943572205818</v>
      </c>
      <c r="D1668">
        <v>0.68789056427794182</v>
      </c>
    </row>
    <row r="1669" spans="1:4" x14ac:dyDescent="0.2">
      <c r="A1669">
        <v>2004</v>
      </c>
      <c r="B1669">
        <v>501</v>
      </c>
      <c r="C1669">
        <v>0.55602836879432627</v>
      </c>
      <c r="D1669">
        <v>0.44397163120567373</v>
      </c>
    </row>
    <row r="1670" spans="1:4" x14ac:dyDescent="0.2">
      <c r="A1670">
        <v>2003</v>
      </c>
      <c r="B1670">
        <v>501</v>
      </c>
      <c r="C1670" t="s">
        <v>25</v>
      </c>
      <c r="D1670" t="s">
        <v>25</v>
      </c>
    </row>
    <row r="1671" spans="1:4" x14ac:dyDescent="0.2">
      <c r="A1671">
        <v>2002</v>
      </c>
      <c r="B1671">
        <v>501</v>
      </c>
      <c r="C1671" t="s">
        <v>25</v>
      </c>
      <c r="D1671" t="s">
        <v>25</v>
      </c>
    </row>
    <row r="1672" spans="1:4" x14ac:dyDescent="0.2">
      <c r="A1672">
        <v>2001</v>
      </c>
      <c r="B1672">
        <v>501</v>
      </c>
      <c r="C1672">
        <v>0.48152173913043478</v>
      </c>
      <c r="D1672">
        <v>0.51847826086956528</v>
      </c>
    </row>
    <row r="1673" spans="1:4" x14ac:dyDescent="0.2">
      <c r="A1673">
        <v>2000</v>
      </c>
      <c r="B1673">
        <v>501</v>
      </c>
      <c r="C1673">
        <v>0.64821731748726663</v>
      </c>
      <c r="D1673">
        <v>0.35178268251273337</v>
      </c>
    </row>
    <row r="1674" spans="1:4" x14ac:dyDescent="0.2">
      <c r="A1674">
        <v>1999</v>
      </c>
      <c r="B1674">
        <v>501</v>
      </c>
      <c r="C1674">
        <v>0.65774378585086046</v>
      </c>
      <c r="D1674">
        <v>0.34225621414913954</v>
      </c>
    </row>
    <row r="1675" spans="1:4" x14ac:dyDescent="0.2">
      <c r="A1675">
        <v>1998</v>
      </c>
      <c r="B1675">
        <v>501</v>
      </c>
      <c r="C1675">
        <v>0.71290322580645171</v>
      </c>
      <c r="D1675">
        <v>0.28709677419354829</v>
      </c>
    </row>
    <row r="1676" spans="1:4" x14ac:dyDescent="0.2">
      <c r="A1676">
        <v>1997</v>
      </c>
      <c r="B1676">
        <v>501</v>
      </c>
      <c r="C1676">
        <v>0.46326963906581742</v>
      </c>
      <c r="D1676">
        <v>0.53673036093418258</v>
      </c>
    </row>
    <row r="1677" spans="1:4" x14ac:dyDescent="0.2">
      <c r="A1677">
        <v>2021</v>
      </c>
      <c r="B1677">
        <v>502</v>
      </c>
      <c r="C1677" t="s">
        <v>25</v>
      </c>
      <c r="D1677" t="s">
        <v>25</v>
      </c>
    </row>
    <row r="1678" spans="1:4" x14ac:dyDescent="0.2">
      <c r="A1678">
        <v>2020</v>
      </c>
      <c r="B1678">
        <v>502</v>
      </c>
      <c r="C1678" t="s">
        <v>25</v>
      </c>
      <c r="D1678" t="s">
        <v>25</v>
      </c>
    </row>
    <row r="1679" spans="1:4" x14ac:dyDescent="0.2">
      <c r="A1679">
        <v>2019</v>
      </c>
      <c r="B1679">
        <v>502</v>
      </c>
      <c r="C1679" t="s">
        <v>25</v>
      </c>
      <c r="D1679" t="s">
        <v>25</v>
      </c>
    </row>
    <row r="1680" spans="1:4" x14ac:dyDescent="0.2">
      <c r="A1680">
        <v>2018</v>
      </c>
      <c r="B1680">
        <v>502</v>
      </c>
      <c r="C1680" t="s">
        <v>25</v>
      </c>
      <c r="D1680" t="s">
        <v>25</v>
      </c>
    </row>
    <row r="1681" spans="1:4" x14ac:dyDescent="0.2">
      <c r="A1681">
        <v>2017</v>
      </c>
      <c r="B1681">
        <v>502</v>
      </c>
      <c r="C1681" t="s">
        <v>25</v>
      </c>
      <c r="D1681" t="s">
        <v>25</v>
      </c>
    </row>
    <row r="1682" spans="1:4" x14ac:dyDescent="0.2">
      <c r="A1682">
        <v>2016</v>
      </c>
      <c r="B1682">
        <v>502</v>
      </c>
      <c r="C1682" t="s">
        <v>25</v>
      </c>
      <c r="D1682" t="s">
        <v>25</v>
      </c>
    </row>
    <row r="1683" spans="1:4" x14ac:dyDescent="0.2">
      <c r="A1683">
        <v>2015</v>
      </c>
      <c r="B1683">
        <v>502</v>
      </c>
      <c r="C1683" t="s">
        <v>25</v>
      </c>
      <c r="D1683" t="s">
        <v>25</v>
      </c>
    </row>
    <row r="1684" spans="1:4" x14ac:dyDescent="0.2">
      <c r="A1684">
        <v>2014</v>
      </c>
      <c r="B1684">
        <v>502</v>
      </c>
      <c r="C1684" t="s">
        <v>25</v>
      </c>
      <c r="D1684" t="s">
        <v>25</v>
      </c>
    </row>
    <row r="1685" spans="1:4" x14ac:dyDescent="0.2">
      <c r="A1685">
        <v>2013</v>
      </c>
      <c r="B1685">
        <v>502</v>
      </c>
      <c r="C1685" t="s">
        <v>25</v>
      </c>
      <c r="D1685" t="s">
        <v>25</v>
      </c>
    </row>
    <row r="1686" spans="1:4" x14ac:dyDescent="0.2">
      <c r="A1686">
        <v>2012</v>
      </c>
      <c r="B1686">
        <v>502</v>
      </c>
      <c r="C1686" t="s">
        <v>25</v>
      </c>
      <c r="D1686" t="s">
        <v>25</v>
      </c>
    </row>
    <row r="1687" spans="1:4" x14ac:dyDescent="0.2">
      <c r="A1687">
        <v>2011</v>
      </c>
      <c r="B1687">
        <v>502</v>
      </c>
      <c r="C1687">
        <v>0.76639610389610391</v>
      </c>
      <c r="D1687">
        <v>0.23360389610389609</v>
      </c>
    </row>
    <row r="1688" spans="1:4" x14ac:dyDescent="0.2">
      <c r="A1688">
        <v>2010</v>
      </c>
      <c r="B1688">
        <v>502</v>
      </c>
      <c r="C1688" t="s">
        <v>25</v>
      </c>
      <c r="D1688" t="s">
        <v>25</v>
      </c>
    </row>
    <row r="1689" spans="1:4" x14ac:dyDescent="0.2">
      <c r="A1689">
        <v>2009</v>
      </c>
      <c r="B1689">
        <v>502</v>
      </c>
      <c r="C1689" t="s">
        <v>25</v>
      </c>
      <c r="D1689" t="s">
        <v>25</v>
      </c>
    </row>
    <row r="1690" spans="1:4" x14ac:dyDescent="0.2">
      <c r="A1690">
        <v>2008</v>
      </c>
      <c r="B1690">
        <v>502</v>
      </c>
      <c r="C1690" t="s">
        <v>25</v>
      </c>
      <c r="D1690" t="s">
        <v>25</v>
      </c>
    </row>
    <row r="1691" spans="1:4" x14ac:dyDescent="0.2">
      <c r="A1691">
        <v>2007</v>
      </c>
      <c r="B1691">
        <v>502</v>
      </c>
      <c r="C1691" t="s">
        <v>25</v>
      </c>
      <c r="D1691" t="s">
        <v>25</v>
      </c>
    </row>
    <row r="1692" spans="1:4" x14ac:dyDescent="0.2">
      <c r="A1692">
        <v>2006</v>
      </c>
      <c r="B1692">
        <v>502</v>
      </c>
      <c r="C1692">
        <v>0.6387096774193548</v>
      </c>
      <c r="D1692">
        <v>0.3612903225806452</v>
      </c>
    </row>
    <row r="1693" spans="1:4" x14ac:dyDescent="0.2">
      <c r="A1693">
        <v>2005</v>
      </c>
      <c r="B1693">
        <v>502</v>
      </c>
      <c r="C1693" t="s">
        <v>25</v>
      </c>
      <c r="D1693" t="s">
        <v>25</v>
      </c>
    </row>
    <row r="1694" spans="1:4" x14ac:dyDescent="0.2">
      <c r="A1694">
        <v>2004</v>
      </c>
      <c r="B1694">
        <v>502</v>
      </c>
      <c r="C1694" t="s">
        <v>25</v>
      </c>
      <c r="D1694" t="s">
        <v>25</v>
      </c>
    </row>
    <row r="1695" spans="1:4" x14ac:dyDescent="0.2">
      <c r="A1695">
        <v>2003</v>
      </c>
      <c r="B1695">
        <v>502</v>
      </c>
      <c r="C1695" t="s">
        <v>25</v>
      </c>
      <c r="D1695" t="s">
        <v>25</v>
      </c>
    </row>
    <row r="1696" spans="1:4" x14ac:dyDescent="0.2">
      <c r="A1696">
        <v>2002</v>
      </c>
      <c r="B1696">
        <v>502</v>
      </c>
      <c r="C1696" t="s">
        <v>25</v>
      </c>
      <c r="D1696" t="s">
        <v>25</v>
      </c>
    </row>
    <row r="1697" spans="1:4" x14ac:dyDescent="0.2">
      <c r="A1697">
        <v>2001</v>
      </c>
      <c r="B1697">
        <v>502</v>
      </c>
      <c r="C1697" t="s">
        <v>25</v>
      </c>
      <c r="D1697" t="s">
        <v>25</v>
      </c>
    </row>
    <row r="1698" spans="1:4" x14ac:dyDescent="0.2">
      <c r="A1698">
        <v>2000</v>
      </c>
      <c r="B1698">
        <v>502</v>
      </c>
      <c r="C1698" t="s">
        <v>25</v>
      </c>
      <c r="D1698" t="s">
        <v>25</v>
      </c>
    </row>
    <row r="1699" spans="1:4" x14ac:dyDescent="0.2">
      <c r="A1699">
        <v>1999</v>
      </c>
      <c r="B1699">
        <v>502</v>
      </c>
      <c r="C1699">
        <v>0.55962732919254654</v>
      </c>
      <c r="D1699">
        <v>0.44037267080745346</v>
      </c>
    </row>
    <row r="1700" spans="1:4" x14ac:dyDescent="0.2">
      <c r="A1700">
        <v>1998</v>
      </c>
      <c r="B1700">
        <v>502</v>
      </c>
      <c r="C1700" t="s">
        <v>25</v>
      </c>
      <c r="D1700" t="s">
        <v>25</v>
      </c>
    </row>
    <row r="1701" spans="1:4" x14ac:dyDescent="0.2">
      <c r="A1701">
        <v>1997</v>
      </c>
      <c r="B1701">
        <v>502</v>
      </c>
      <c r="C1701">
        <v>0.4497297297297298</v>
      </c>
      <c r="D1701">
        <v>0.5502702702702702</v>
      </c>
    </row>
    <row r="1702" spans="1:4" x14ac:dyDescent="0.2">
      <c r="A1702">
        <v>2021</v>
      </c>
      <c r="B1702">
        <v>503</v>
      </c>
      <c r="C1702" t="s">
        <v>25</v>
      </c>
      <c r="D1702" t="s">
        <v>25</v>
      </c>
    </row>
    <row r="1703" spans="1:4" x14ac:dyDescent="0.2">
      <c r="A1703">
        <v>2020</v>
      </c>
      <c r="B1703">
        <v>503</v>
      </c>
      <c r="C1703">
        <v>0.36359262229350442</v>
      </c>
      <c r="D1703">
        <v>0.63640737770649558</v>
      </c>
    </row>
    <row r="1704" spans="1:4" x14ac:dyDescent="0.2">
      <c r="A1704">
        <v>2019</v>
      </c>
      <c r="B1704">
        <v>503</v>
      </c>
      <c r="C1704" t="s">
        <v>25</v>
      </c>
      <c r="D1704" t="s">
        <v>25</v>
      </c>
    </row>
    <row r="1705" spans="1:4" x14ac:dyDescent="0.2">
      <c r="A1705">
        <v>2018</v>
      </c>
      <c r="B1705">
        <v>503</v>
      </c>
      <c r="C1705" t="s">
        <v>25</v>
      </c>
      <c r="D1705" t="s">
        <v>25</v>
      </c>
    </row>
    <row r="1706" spans="1:4" x14ac:dyDescent="0.2">
      <c r="A1706">
        <v>2017</v>
      </c>
      <c r="B1706">
        <v>503</v>
      </c>
      <c r="C1706" t="s">
        <v>25</v>
      </c>
      <c r="D1706" t="s">
        <v>25</v>
      </c>
    </row>
    <row r="1707" spans="1:4" x14ac:dyDescent="0.2">
      <c r="A1707">
        <v>2016</v>
      </c>
      <c r="B1707">
        <v>503</v>
      </c>
      <c r="C1707" t="s">
        <v>25</v>
      </c>
      <c r="D1707" t="s">
        <v>25</v>
      </c>
    </row>
    <row r="1708" spans="1:4" x14ac:dyDescent="0.2">
      <c r="A1708">
        <v>2015</v>
      </c>
      <c r="B1708">
        <v>503</v>
      </c>
      <c r="C1708" t="s">
        <v>25</v>
      </c>
      <c r="D1708" t="s">
        <v>25</v>
      </c>
    </row>
    <row r="1709" spans="1:4" x14ac:dyDescent="0.2">
      <c r="A1709">
        <v>2014</v>
      </c>
      <c r="B1709">
        <v>503</v>
      </c>
      <c r="C1709" t="s">
        <v>25</v>
      </c>
      <c r="D1709" t="s">
        <v>25</v>
      </c>
    </row>
    <row r="1710" spans="1:4" x14ac:dyDescent="0.2">
      <c r="A1710">
        <v>2013</v>
      </c>
      <c r="B1710">
        <v>503</v>
      </c>
      <c r="C1710" t="s">
        <v>25</v>
      </c>
      <c r="D1710" t="s">
        <v>25</v>
      </c>
    </row>
    <row r="1711" spans="1:4" x14ac:dyDescent="0.2">
      <c r="A1711">
        <v>2012</v>
      </c>
      <c r="B1711">
        <v>503</v>
      </c>
      <c r="C1711" t="s">
        <v>25</v>
      </c>
      <c r="D1711" t="s">
        <v>25</v>
      </c>
    </row>
    <row r="1712" spans="1:4" x14ac:dyDescent="0.2">
      <c r="A1712">
        <v>2011</v>
      </c>
      <c r="B1712">
        <v>503</v>
      </c>
      <c r="C1712">
        <v>0.62212189616252811</v>
      </c>
      <c r="D1712">
        <v>0.37787810383747189</v>
      </c>
    </row>
    <row r="1713" spans="1:4" x14ac:dyDescent="0.2">
      <c r="A1713">
        <v>2010</v>
      </c>
      <c r="B1713">
        <v>503</v>
      </c>
      <c r="C1713">
        <v>0.58711549622751025</v>
      </c>
      <c r="D1713">
        <v>0.41288450377248975</v>
      </c>
    </row>
    <row r="1714" spans="1:4" x14ac:dyDescent="0.2">
      <c r="A1714">
        <v>2009</v>
      </c>
      <c r="B1714">
        <v>503</v>
      </c>
      <c r="C1714">
        <v>0.68629737609329444</v>
      </c>
      <c r="D1714">
        <v>0.31370262390670556</v>
      </c>
    </row>
    <row r="1715" spans="1:4" x14ac:dyDescent="0.2">
      <c r="A1715">
        <v>2008</v>
      </c>
      <c r="B1715">
        <v>503</v>
      </c>
      <c r="C1715">
        <v>0.75649021029731689</v>
      </c>
      <c r="D1715">
        <v>0.24350978970268311</v>
      </c>
    </row>
    <row r="1716" spans="1:4" x14ac:dyDescent="0.2">
      <c r="A1716">
        <v>2007</v>
      </c>
      <c r="B1716">
        <v>503</v>
      </c>
      <c r="C1716">
        <v>0.77149643705463189</v>
      </c>
      <c r="D1716">
        <v>0.22850356294536811</v>
      </c>
    </row>
    <row r="1717" spans="1:4" x14ac:dyDescent="0.2">
      <c r="A1717">
        <v>2006</v>
      </c>
      <c r="B1717">
        <v>503</v>
      </c>
      <c r="C1717">
        <v>0.67461300309597538</v>
      </c>
      <c r="D1717">
        <v>0.32538699690402462</v>
      </c>
    </row>
    <row r="1718" spans="1:4" x14ac:dyDescent="0.2">
      <c r="A1718">
        <v>2005</v>
      </c>
      <c r="B1718">
        <v>503</v>
      </c>
      <c r="C1718">
        <v>0.69149039237849197</v>
      </c>
      <c r="D1718">
        <v>0.30850960762150803</v>
      </c>
    </row>
    <row r="1719" spans="1:4" x14ac:dyDescent="0.2">
      <c r="A1719">
        <v>2004</v>
      </c>
      <c r="B1719">
        <v>503</v>
      </c>
      <c r="C1719">
        <v>0.73244686013782401</v>
      </c>
      <c r="D1719">
        <v>0.26755313986217599</v>
      </c>
    </row>
    <row r="1720" spans="1:4" x14ac:dyDescent="0.2">
      <c r="A1720">
        <v>2003</v>
      </c>
      <c r="B1720">
        <v>503</v>
      </c>
      <c r="C1720">
        <v>0.70783410138248859</v>
      </c>
      <c r="D1720">
        <v>0.29216589861751141</v>
      </c>
    </row>
    <row r="1721" spans="1:4" x14ac:dyDescent="0.2">
      <c r="A1721">
        <v>2002</v>
      </c>
      <c r="B1721">
        <v>503</v>
      </c>
      <c r="C1721">
        <v>0.73671300081766156</v>
      </c>
      <c r="D1721">
        <v>0.26328699918233844</v>
      </c>
    </row>
    <row r="1722" spans="1:4" x14ac:dyDescent="0.2">
      <c r="A1722">
        <v>2001</v>
      </c>
      <c r="B1722">
        <v>503</v>
      </c>
      <c r="C1722" t="s">
        <v>25</v>
      </c>
      <c r="D1722" t="s">
        <v>25</v>
      </c>
    </row>
    <row r="1723" spans="1:4" x14ac:dyDescent="0.2">
      <c r="A1723">
        <v>2000</v>
      </c>
      <c r="B1723">
        <v>503</v>
      </c>
      <c r="C1723">
        <v>0.71378737541528237</v>
      </c>
      <c r="D1723">
        <v>0.28621262458471763</v>
      </c>
    </row>
    <row r="1724" spans="1:4" x14ac:dyDescent="0.2">
      <c r="A1724">
        <v>1999</v>
      </c>
      <c r="B1724">
        <v>503</v>
      </c>
      <c r="C1724">
        <v>0.59486356340288926</v>
      </c>
      <c r="D1724">
        <v>0.40513643659711074</v>
      </c>
    </row>
    <row r="1725" spans="1:4" x14ac:dyDescent="0.2">
      <c r="A1725">
        <v>1998</v>
      </c>
      <c r="B1725">
        <v>503</v>
      </c>
      <c r="C1725">
        <v>0.53971486761710796</v>
      </c>
      <c r="D1725">
        <v>0.46028513238289204</v>
      </c>
    </row>
    <row r="1726" spans="1:4" x14ac:dyDescent="0.2">
      <c r="A1726">
        <v>1997</v>
      </c>
      <c r="B1726">
        <v>503</v>
      </c>
      <c r="C1726">
        <v>0.54084507042253516</v>
      </c>
      <c r="D1726">
        <v>0.45915492957746484</v>
      </c>
    </row>
    <row r="1727" spans="1:4" x14ac:dyDescent="0.2">
      <c r="A1727">
        <v>2021</v>
      </c>
      <c r="B1727">
        <v>504</v>
      </c>
      <c r="C1727">
        <v>0.38350918645863041</v>
      </c>
      <c r="D1727">
        <v>0.61649081354136959</v>
      </c>
    </row>
    <row r="1728" spans="1:4" x14ac:dyDescent="0.2">
      <c r="A1728">
        <v>2020</v>
      </c>
      <c r="B1728">
        <v>504</v>
      </c>
      <c r="C1728">
        <v>0.43027506495833717</v>
      </c>
      <c r="D1728">
        <v>0.56972493504166288</v>
      </c>
    </row>
    <row r="1729" spans="1:4" x14ac:dyDescent="0.2">
      <c r="A1729">
        <v>2019</v>
      </c>
      <c r="B1729">
        <v>504</v>
      </c>
      <c r="C1729">
        <v>0.37875581887431237</v>
      </c>
      <c r="D1729">
        <v>0.62124418112568769</v>
      </c>
    </row>
    <row r="1730" spans="1:4" x14ac:dyDescent="0.2">
      <c r="A1730">
        <v>2018</v>
      </c>
      <c r="B1730">
        <v>504</v>
      </c>
      <c r="C1730">
        <v>0.63215087561742256</v>
      </c>
      <c r="D1730">
        <v>0.36784912438257744</v>
      </c>
    </row>
    <row r="1731" spans="1:4" x14ac:dyDescent="0.2">
      <c r="A1731">
        <v>2017</v>
      </c>
      <c r="B1731">
        <v>504</v>
      </c>
      <c r="C1731">
        <v>0.65808835881068362</v>
      </c>
      <c r="D1731">
        <v>0.34191164118931638</v>
      </c>
    </row>
    <row r="1732" spans="1:4" x14ac:dyDescent="0.2">
      <c r="A1732">
        <v>2016</v>
      </c>
      <c r="B1732">
        <v>504</v>
      </c>
      <c r="C1732">
        <v>0.44802342606149342</v>
      </c>
      <c r="D1732">
        <v>0.55197657393850652</v>
      </c>
    </row>
    <row r="1733" spans="1:4" x14ac:dyDescent="0.2">
      <c r="A1733">
        <v>2015</v>
      </c>
      <c r="B1733">
        <v>504</v>
      </c>
      <c r="C1733">
        <v>0.51838331160365059</v>
      </c>
      <c r="D1733">
        <v>0.48161668839634941</v>
      </c>
    </row>
    <row r="1734" spans="1:4" x14ac:dyDescent="0.2">
      <c r="A1734">
        <v>2014</v>
      </c>
      <c r="B1734">
        <v>504</v>
      </c>
      <c r="C1734">
        <v>0.4598872566715726</v>
      </c>
      <c r="D1734">
        <v>0.5401127433284274</v>
      </c>
    </row>
    <row r="1735" spans="1:4" x14ac:dyDescent="0.2">
      <c r="A1735">
        <v>2013</v>
      </c>
      <c r="B1735">
        <v>504</v>
      </c>
      <c r="C1735">
        <v>0.42854789725639575</v>
      </c>
      <c r="D1735">
        <v>0.57145210274360425</v>
      </c>
    </row>
    <row r="1736" spans="1:4" x14ac:dyDescent="0.2">
      <c r="A1736">
        <v>2012</v>
      </c>
      <c r="B1736">
        <v>504</v>
      </c>
      <c r="C1736">
        <v>0.39639175257731957</v>
      </c>
      <c r="D1736">
        <v>0.60360824742268049</v>
      </c>
    </row>
    <row r="1737" spans="1:4" x14ac:dyDescent="0.2">
      <c r="A1737">
        <v>2011</v>
      </c>
      <c r="B1737">
        <v>504</v>
      </c>
      <c r="C1737">
        <v>0.53344420027320782</v>
      </c>
      <c r="D1737">
        <v>0.46655579972679218</v>
      </c>
    </row>
    <row r="1738" spans="1:4" x14ac:dyDescent="0.2">
      <c r="A1738">
        <v>2010</v>
      </c>
      <c r="B1738">
        <v>504</v>
      </c>
      <c r="C1738">
        <v>0.55166444166917872</v>
      </c>
      <c r="D1738">
        <v>0.44833555833082128</v>
      </c>
    </row>
    <row r="1739" spans="1:4" x14ac:dyDescent="0.2">
      <c r="A1739">
        <v>2009</v>
      </c>
      <c r="B1739">
        <v>504</v>
      </c>
      <c r="C1739">
        <v>0.63256118166457731</v>
      </c>
      <c r="D1739">
        <v>0.36743881833542269</v>
      </c>
    </row>
    <row r="1740" spans="1:4" x14ac:dyDescent="0.2">
      <c r="A1740">
        <v>2008</v>
      </c>
      <c r="B1740">
        <v>504</v>
      </c>
      <c r="C1740">
        <v>0.70849673202614383</v>
      </c>
      <c r="D1740">
        <v>0.29150326797385617</v>
      </c>
    </row>
    <row r="1741" spans="1:4" x14ac:dyDescent="0.2">
      <c r="A1741">
        <v>2007</v>
      </c>
      <c r="B1741">
        <v>504</v>
      </c>
      <c r="C1741">
        <v>0.56082546696123725</v>
      </c>
      <c r="D1741">
        <v>0.43917453303876275</v>
      </c>
    </row>
    <row r="1742" spans="1:4" x14ac:dyDescent="0.2">
      <c r="A1742">
        <v>2006</v>
      </c>
      <c r="B1742">
        <v>504</v>
      </c>
      <c r="C1742">
        <v>0.5275068681318682</v>
      </c>
      <c r="D1742">
        <v>0.4724931318681318</v>
      </c>
    </row>
    <row r="1743" spans="1:4" x14ac:dyDescent="0.2">
      <c r="A1743">
        <v>2005</v>
      </c>
      <c r="B1743">
        <v>504</v>
      </c>
      <c r="C1743">
        <v>0.6013168519783838</v>
      </c>
      <c r="D1743">
        <v>0.3986831480216162</v>
      </c>
    </row>
    <row r="1744" spans="1:4" x14ac:dyDescent="0.2">
      <c r="A1744">
        <v>2004</v>
      </c>
      <c r="B1744">
        <v>504</v>
      </c>
      <c r="C1744">
        <v>0.50607651912978247</v>
      </c>
      <c r="D1744">
        <v>0.49392348087021753</v>
      </c>
    </row>
    <row r="1745" spans="1:4" x14ac:dyDescent="0.2">
      <c r="A1745">
        <v>2003</v>
      </c>
      <c r="B1745">
        <v>504</v>
      </c>
      <c r="C1745">
        <v>0.57660626029654038</v>
      </c>
      <c r="D1745">
        <v>0.42339373970345962</v>
      </c>
    </row>
    <row r="1746" spans="1:4" x14ac:dyDescent="0.2">
      <c r="A1746">
        <v>2002</v>
      </c>
      <c r="B1746">
        <v>504</v>
      </c>
      <c r="C1746">
        <v>0.75791340804644036</v>
      </c>
      <c r="D1746">
        <v>0.24208659195355964</v>
      </c>
    </row>
    <row r="1747" spans="1:4" x14ac:dyDescent="0.2">
      <c r="A1747">
        <v>2001</v>
      </c>
      <c r="B1747">
        <v>504</v>
      </c>
      <c r="C1747">
        <v>0.53148614609571787</v>
      </c>
      <c r="D1747">
        <v>0.46851385390428213</v>
      </c>
    </row>
    <row r="1748" spans="1:4" x14ac:dyDescent="0.2">
      <c r="A1748">
        <v>2000</v>
      </c>
      <c r="B1748">
        <v>504</v>
      </c>
      <c r="C1748">
        <v>0.71631172478352445</v>
      </c>
      <c r="D1748">
        <v>0.28368827521647555</v>
      </c>
    </row>
    <row r="1749" spans="1:4" x14ac:dyDescent="0.2">
      <c r="A1749">
        <v>1999</v>
      </c>
      <c r="B1749">
        <v>504</v>
      </c>
      <c r="C1749">
        <v>0.56792079207920798</v>
      </c>
      <c r="D1749">
        <v>0.43207920792079202</v>
      </c>
    </row>
    <row r="1750" spans="1:4" x14ac:dyDescent="0.2">
      <c r="A1750">
        <v>1998</v>
      </c>
      <c r="B1750">
        <v>504</v>
      </c>
      <c r="C1750">
        <v>0.65056746532156362</v>
      </c>
      <c r="D1750">
        <v>0.34943253467843638</v>
      </c>
    </row>
    <row r="1751" spans="1:4" x14ac:dyDescent="0.2">
      <c r="A1751">
        <v>1997</v>
      </c>
      <c r="B1751">
        <v>504</v>
      </c>
      <c r="C1751">
        <v>0.613726281792491</v>
      </c>
      <c r="D1751">
        <v>0.386273718207509</v>
      </c>
    </row>
    <row r="1752" spans="1:4" x14ac:dyDescent="0.2">
      <c r="A1752">
        <v>2021</v>
      </c>
      <c r="B1752">
        <v>505</v>
      </c>
      <c r="C1752">
        <v>0.33775540420491568</v>
      </c>
      <c r="D1752">
        <v>0.66224459579508432</v>
      </c>
    </row>
    <row r="1753" spans="1:4" x14ac:dyDescent="0.2">
      <c r="A1753">
        <v>2020</v>
      </c>
      <c r="B1753">
        <v>505</v>
      </c>
      <c r="C1753">
        <v>0.45668808411214951</v>
      </c>
      <c r="D1753">
        <v>0.54331191588785055</v>
      </c>
    </row>
    <row r="1754" spans="1:4" x14ac:dyDescent="0.2">
      <c r="A1754">
        <v>2019</v>
      </c>
      <c r="B1754">
        <v>505</v>
      </c>
      <c r="C1754">
        <v>0.38400022076273521</v>
      </c>
      <c r="D1754">
        <v>0.61599977923726479</v>
      </c>
    </row>
    <row r="1755" spans="1:4" x14ac:dyDescent="0.2">
      <c r="A1755">
        <v>2018</v>
      </c>
      <c r="B1755">
        <v>505</v>
      </c>
      <c r="C1755">
        <v>0.35622308711493877</v>
      </c>
      <c r="D1755">
        <v>0.64377691288506123</v>
      </c>
    </row>
    <row r="1756" spans="1:4" x14ac:dyDescent="0.2">
      <c r="A1756">
        <v>2017</v>
      </c>
      <c r="B1756">
        <v>505</v>
      </c>
      <c r="C1756">
        <v>0.30495188101487314</v>
      </c>
      <c r="D1756">
        <v>0.69504811898512686</v>
      </c>
    </row>
    <row r="1757" spans="1:4" x14ac:dyDescent="0.2">
      <c r="A1757">
        <v>2016</v>
      </c>
      <c r="B1757">
        <v>505</v>
      </c>
      <c r="C1757">
        <v>0.30773628580193552</v>
      </c>
      <c r="D1757">
        <v>0.69226371419806454</v>
      </c>
    </row>
    <row r="1758" spans="1:4" x14ac:dyDescent="0.2">
      <c r="A1758">
        <v>2015</v>
      </c>
      <c r="B1758">
        <v>505</v>
      </c>
      <c r="C1758">
        <v>0.28710898221109016</v>
      </c>
      <c r="D1758">
        <v>0.71289101778890984</v>
      </c>
    </row>
    <row r="1759" spans="1:4" x14ac:dyDescent="0.2">
      <c r="A1759">
        <v>2014</v>
      </c>
      <c r="B1759">
        <v>505</v>
      </c>
      <c r="C1759">
        <v>0.35867325619929979</v>
      </c>
      <c r="D1759">
        <v>0.64132674380070021</v>
      </c>
    </row>
    <row r="1760" spans="1:4" x14ac:dyDescent="0.2">
      <c r="A1760">
        <v>2013</v>
      </c>
      <c r="B1760">
        <v>505</v>
      </c>
      <c r="C1760">
        <v>0.29716659170877541</v>
      </c>
      <c r="D1760">
        <v>0.70283340829122465</v>
      </c>
    </row>
    <row r="1761" spans="1:4" x14ac:dyDescent="0.2">
      <c r="A1761">
        <v>2012</v>
      </c>
      <c r="B1761">
        <v>505</v>
      </c>
      <c r="C1761">
        <v>0.28588272073601001</v>
      </c>
      <c r="D1761">
        <v>0.71411727926399005</v>
      </c>
    </row>
    <row r="1762" spans="1:4" x14ac:dyDescent="0.2">
      <c r="A1762">
        <v>2011</v>
      </c>
      <c r="B1762">
        <v>505</v>
      </c>
      <c r="C1762">
        <v>0.30110093869509791</v>
      </c>
      <c r="D1762">
        <v>0.69889906130490209</v>
      </c>
    </row>
    <row r="1763" spans="1:4" x14ac:dyDescent="0.2">
      <c r="A1763">
        <v>2010</v>
      </c>
      <c r="B1763">
        <v>505</v>
      </c>
      <c r="C1763">
        <v>0.33074117404170394</v>
      </c>
      <c r="D1763">
        <v>0.66925882595829611</v>
      </c>
    </row>
    <row r="1764" spans="1:4" x14ac:dyDescent="0.2">
      <c r="A1764">
        <v>2009</v>
      </c>
      <c r="B1764">
        <v>505</v>
      </c>
      <c r="C1764">
        <v>0.3473972174456777</v>
      </c>
      <c r="D1764">
        <v>0.65260278255432236</v>
      </c>
    </row>
    <row r="1765" spans="1:4" x14ac:dyDescent="0.2">
      <c r="A1765">
        <v>2008</v>
      </c>
      <c r="B1765">
        <v>505</v>
      </c>
      <c r="C1765">
        <v>0.33245033112582778</v>
      </c>
      <c r="D1765">
        <v>0.66754966887417222</v>
      </c>
    </row>
    <row r="1766" spans="1:4" x14ac:dyDescent="0.2">
      <c r="A1766">
        <v>2007</v>
      </c>
      <c r="B1766">
        <v>505</v>
      </c>
      <c r="C1766">
        <v>0.31521480626817522</v>
      </c>
      <c r="D1766">
        <v>0.68478519373182478</v>
      </c>
    </row>
    <row r="1767" spans="1:4" x14ac:dyDescent="0.2">
      <c r="A1767">
        <v>2006</v>
      </c>
      <c r="B1767">
        <v>505</v>
      </c>
      <c r="C1767">
        <v>0.27201485936670794</v>
      </c>
      <c r="D1767">
        <v>0.727985140633292</v>
      </c>
    </row>
    <row r="1768" spans="1:4" x14ac:dyDescent="0.2">
      <c r="A1768">
        <v>2005</v>
      </c>
      <c r="B1768">
        <v>505</v>
      </c>
      <c r="C1768">
        <v>0.22716476991588325</v>
      </c>
      <c r="D1768">
        <v>0.77283523008411681</v>
      </c>
    </row>
    <row r="1769" spans="1:4" x14ac:dyDescent="0.2">
      <c r="A1769">
        <v>2004</v>
      </c>
      <c r="B1769">
        <v>505</v>
      </c>
      <c r="C1769">
        <v>0.35837746979163365</v>
      </c>
      <c r="D1769">
        <v>0.64162253020836635</v>
      </c>
    </row>
    <row r="1770" spans="1:4" x14ac:dyDescent="0.2">
      <c r="A1770">
        <v>2003</v>
      </c>
      <c r="B1770">
        <v>505</v>
      </c>
      <c r="C1770">
        <v>0.29786675418444375</v>
      </c>
      <c r="D1770">
        <v>0.70213324581555625</v>
      </c>
    </row>
    <row r="1771" spans="1:4" x14ac:dyDescent="0.2">
      <c r="A1771">
        <v>2002</v>
      </c>
      <c r="B1771">
        <v>505</v>
      </c>
      <c r="C1771">
        <v>0.42923976608187137</v>
      </c>
      <c r="D1771">
        <v>0.57076023391812858</v>
      </c>
    </row>
    <row r="1772" spans="1:4" x14ac:dyDescent="0.2">
      <c r="A1772">
        <v>2001</v>
      </c>
      <c r="B1772">
        <v>505</v>
      </c>
      <c r="C1772">
        <v>0.45723336853220703</v>
      </c>
      <c r="D1772">
        <v>0.54276663146779303</v>
      </c>
    </row>
    <row r="1773" spans="1:4" x14ac:dyDescent="0.2">
      <c r="A1773">
        <v>2000</v>
      </c>
      <c r="B1773">
        <v>505</v>
      </c>
      <c r="C1773">
        <v>0.43436426116838489</v>
      </c>
      <c r="D1773">
        <v>0.56563573883161511</v>
      </c>
    </row>
    <row r="1774" spans="1:4" x14ac:dyDescent="0.2">
      <c r="A1774">
        <v>1999</v>
      </c>
      <c r="B1774">
        <v>505</v>
      </c>
      <c r="C1774">
        <v>0.29963560645497145</v>
      </c>
      <c r="D1774">
        <v>0.70036439354502855</v>
      </c>
    </row>
    <row r="1775" spans="1:4" x14ac:dyDescent="0.2">
      <c r="A1775">
        <v>1998</v>
      </c>
      <c r="B1775">
        <v>505</v>
      </c>
      <c r="C1775">
        <v>0.37269653423499582</v>
      </c>
      <c r="D1775">
        <v>0.62730346576500418</v>
      </c>
    </row>
    <row r="1776" spans="1:4" x14ac:dyDescent="0.2">
      <c r="A1776">
        <v>1997</v>
      </c>
      <c r="B1776">
        <v>505</v>
      </c>
      <c r="C1776">
        <v>0.51797507637104212</v>
      </c>
      <c r="D1776">
        <v>0.48202492362895788</v>
      </c>
    </row>
    <row r="1777" spans="1:4" x14ac:dyDescent="0.2">
      <c r="A1777">
        <v>2021</v>
      </c>
      <c r="B1777">
        <v>506</v>
      </c>
      <c r="C1777">
        <v>0.43269182800237932</v>
      </c>
      <c r="D1777">
        <v>0.56730817199762074</v>
      </c>
    </row>
    <row r="1778" spans="1:4" x14ac:dyDescent="0.2">
      <c r="A1778">
        <v>2020</v>
      </c>
      <c r="B1778">
        <v>506</v>
      </c>
      <c r="C1778">
        <v>0.66860596128239269</v>
      </c>
      <c r="D1778">
        <v>0.33139403871760731</v>
      </c>
    </row>
    <row r="1779" spans="1:4" x14ac:dyDescent="0.2">
      <c r="A1779">
        <v>2019</v>
      </c>
      <c r="B1779">
        <v>506</v>
      </c>
      <c r="C1779">
        <v>0.46208032790179021</v>
      </c>
      <c r="D1779">
        <v>0.53791967209820979</v>
      </c>
    </row>
    <row r="1780" spans="1:4" x14ac:dyDescent="0.2">
      <c r="A1780">
        <v>2018</v>
      </c>
      <c r="B1780">
        <v>506</v>
      </c>
      <c r="C1780">
        <v>0.41163995436778811</v>
      </c>
      <c r="D1780">
        <v>0.58836004563221189</v>
      </c>
    </row>
    <row r="1781" spans="1:4" x14ac:dyDescent="0.2">
      <c r="A1781">
        <v>2017</v>
      </c>
      <c r="B1781">
        <v>506</v>
      </c>
      <c r="C1781">
        <v>0.34612761811982468</v>
      </c>
      <c r="D1781">
        <v>0.65387238188017527</v>
      </c>
    </row>
    <row r="1782" spans="1:4" x14ac:dyDescent="0.2">
      <c r="A1782">
        <v>2016</v>
      </c>
      <c r="B1782">
        <v>506</v>
      </c>
      <c r="C1782">
        <v>0.38619929858063562</v>
      </c>
      <c r="D1782">
        <v>0.61380070141936438</v>
      </c>
    </row>
    <row r="1783" spans="1:4" x14ac:dyDescent="0.2">
      <c r="A1783">
        <v>2015</v>
      </c>
      <c r="B1783">
        <v>506</v>
      </c>
      <c r="C1783">
        <v>0.44816284514104504</v>
      </c>
      <c r="D1783">
        <v>0.5518371548589549</v>
      </c>
    </row>
    <row r="1784" spans="1:4" x14ac:dyDescent="0.2">
      <c r="A1784">
        <v>2014</v>
      </c>
      <c r="B1784">
        <v>506</v>
      </c>
      <c r="C1784">
        <v>0.38516746411483255</v>
      </c>
      <c r="D1784">
        <v>0.6148325358851674</v>
      </c>
    </row>
    <row r="1785" spans="1:4" x14ac:dyDescent="0.2">
      <c r="A1785">
        <v>2013</v>
      </c>
      <c r="B1785">
        <v>506</v>
      </c>
      <c r="C1785">
        <v>0.32416167282927449</v>
      </c>
      <c r="D1785">
        <v>0.67583832717072556</v>
      </c>
    </row>
    <row r="1786" spans="1:4" x14ac:dyDescent="0.2">
      <c r="A1786">
        <v>2012</v>
      </c>
      <c r="B1786">
        <v>506</v>
      </c>
      <c r="C1786">
        <v>0.43422680412371134</v>
      </c>
      <c r="D1786">
        <v>0.5657731958762886</v>
      </c>
    </row>
    <row r="1787" spans="1:4" x14ac:dyDescent="0.2">
      <c r="A1787">
        <v>2011</v>
      </c>
      <c r="B1787">
        <v>506</v>
      </c>
      <c r="C1787">
        <v>0.49553067089485681</v>
      </c>
      <c r="D1787">
        <v>0.50446932910514319</v>
      </c>
    </row>
    <row r="1788" spans="1:4" x14ac:dyDescent="0.2">
      <c r="A1788">
        <v>2010</v>
      </c>
      <c r="B1788">
        <v>506</v>
      </c>
      <c r="C1788">
        <v>0.3528609948553374</v>
      </c>
      <c r="D1788">
        <v>0.6471390051446626</v>
      </c>
    </row>
    <row r="1789" spans="1:4" x14ac:dyDescent="0.2">
      <c r="A1789">
        <v>2009</v>
      </c>
      <c r="B1789">
        <v>506</v>
      </c>
      <c r="C1789">
        <v>0.46733935209771643</v>
      </c>
      <c r="D1789">
        <v>0.53266064790228351</v>
      </c>
    </row>
    <row r="1790" spans="1:4" x14ac:dyDescent="0.2">
      <c r="A1790">
        <v>2008</v>
      </c>
      <c r="B1790">
        <v>506</v>
      </c>
      <c r="C1790">
        <v>0.28767521819624436</v>
      </c>
      <c r="D1790">
        <v>0.71232478180375569</v>
      </c>
    </row>
    <row r="1791" spans="1:4" x14ac:dyDescent="0.2">
      <c r="A1791">
        <v>2007</v>
      </c>
      <c r="B1791">
        <v>506</v>
      </c>
      <c r="C1791">
        <v>0.43204847234755706</v>
      </c>
      <c r="D1791">
        <v>0.56795152765244294</v>
      </c>
    </row>
    <row r="1792" spans="1:4" x14ac:dyDescent="0.2">
      <c r="A1792">
        <v>2006</v>
      </c>
      <c r="B1792">
        <v>506</v>
      </c>
      <c r="C1792">
        <v>0.23328287952628865</v>
      </c>
      <c r="D1792">
        <v>0.76671712047371132</v>
      </c>
    </row>
    <row r="1793" spans="1:4" x14ac:dyDescent="0.2">
      <c r="A1793">
        <v>2005</v>
      </c>
      <c r="B1793">
        <v>506</v>
      </c>
      <c r="C1793">
        <v>0.56493527773226282</v>
      </c>
      <c r="D1793">
        <v>0.43506472226773718</v>
      </c>
    </row>
    <row r="1794" spans="1:4" x14ac:dyDescent="0.2">
      <c r="A1794">
        <v>2004</v>
      </c>
      <c r="B1794">
        <v>506</v>
      </c>
      <c r="C1794">
        <v>0.37709522059534628</v>
      </c>
      <c r="D1794">
        <v>0.62290477940465372</v>
      </c>
    </row>
    <row r="1795" spans="1:4" x14ac:dyDescent="0.2">
      <c r="A1795">
        <v>2003</v>
      </c>
      <c r="B1795">
        <v>506</v>
      </c>
      <c r="C1795">
        <v>0.37551546391752583</v>
      </c>
      <c r="D1795">
        <v>0.62448453608247423</v>
      </c>
    </row>
    <row r="1796" spans="1:4" x14ac:dyDescent="0.2">
      <c r="A1796">
        <v>2002</v>
      </c>
      <c r="B1796">
        <v>506</v>
      </c>
      <c r="C1796">
        <v>0.42378920022267585</v>
      </c>
      <c r="D1796">
        <v>0.57621079977732415</v>
      </c>
    </row>
    <row r="1797" spans="1:4" x14ac:dyDescent="0.2">
      <c r="A1797">
        <v>2001</v>
      </c>
      <c r="B1797">
        <v>506</v>
      </c>
      <c r="C1797">
        <v>0.41739130434782612</v>
      </c>
      <c r="D1797">
        <v>0.58260869565217388</v>
      </c>
    </row>
    <row r="1798" spans="1:4" x14ac:dyDescent="0.2">
      <c r="A1798">
        <v>2000</v>
      </c>
      <c r="B1798">
        <v>506</v>
      </c>
      <c r="C1798">
        <v>0.5882629107981221</v>
      </c>
      <c r="D1798">
        <v>0.4117370892018779</v>
      </c>
    </row>
    <row r="1799" spans="1:4" x14ac:dyDescent="0.2">
      <c r="A1799">
        <v>1999</v>
      </c>
      <c r="B1799">
        <v>506</v>
      </c>
      <c r="C1799">
        <v>0.49821640903686093</v>
      </c>
      <c r="D1799">
        <v>0.50178359096313907</v>
      </c>
    </row>
    <row r="1800" spans="1:4" x14ac:dyDescent="0.2">
      <c r="A1800">
        <v>1998</v>
      </c>
      <c r="B1800">
        <v>506</v>
      </c>
      <c r="C1800">
        <v>0.52353673723536742</v>
      </c>
      <c r="D1800">
        <v>0.47646326276463258</v>
      </c>
    </row>
    <row r="1801" spans="1:4" x14ac:dyDescent="0.2">
      <c r="A1801">
        <v>1997</v>
      </c>
      <c r="B1801">
        <v>506</v>
      </c>
      <c r="C1801">
        <v>0.53068357032722291</v>
      </c>
      <c r="D1801">
        <v>0.46931642967277709</v>
      </c>
    </row>
    <row r="1802" spans="1:4" x14ac:dyDescent="0.2">
      <c r="A1802">
        <v>2021</v>
      </c>
      <c r="B1802">
        <v>507</v>
      </c>
      <c r="C1802" t="s">
        <v>25</v>
      </c>
      <c r="D1802" t="s">
        <v>25</v>
      </c>
    </row>
    <row r="1803" spans="1:4" x14ac:dyDescent="0.2">
      <c r="A1803">
        <v>2020</v>
      </c>
      <c r="B1803">
        <v>507</v>
      </c>
      <c r="C1803" t="s">
        <v>25</v>
      </c>
      <c r="D1803" t="s">
        <v>25</v>
      </c>
    </row>
    <row r="1804" spans="1:4" x14ac:dyDescent="0.2">
      <c r="A1804">
        <v>2019</v>
      </c>
      <c r="B1804">
        <v>507</v>
      </c>
      <c r="C1804" t="s">
        <v>25</v>
      </c>
      <c r="D1804" t="s">
        <v>25</v>
      </c>
    </row>
    <row r="1805" spans="1:4" x14ac:dyDescent="0.2">
      <c r="A1805">
        <v>2018</v>
      </c>
      <c r="B1805">
        <v>507</v>
      </c>
      <c r="C1805" t="s">
        <v>25</v>
      </c>
      <c r="D1805" t="s">
        <v>25</v>
      </c>
    </row>
    <row r="1806" spans="1:4" x14ac:dyDescent="0.2">
      <c r="A1806">
        <v>2017</v>
      </c>
      <c r="B1806">
        <v>507</v>
      </c>
      <c r="C1806" t="s">
        <v>25</v>
      </c>
      <c r="D1806" t="s">
        <v>25</v>
      </c>
    </row>
    <row r="1807" spans="1:4" x14ac:dyDescent="0.2">
      <c r="A1807">
        <v>2016</v>
      </c>
      <c r="B1807">
        <v>507</v>
      </c>
      <c r="C1807" t="s">
        <v>25</v>
      </c>
      <c r="D1807" t="s">
        <v>25</v>
      </c>
    </row>
    <row r="1808" spans="1:4" x14ac:dyDescent="0.2">
      <c r="A1808">
        <v>2015</v>
      </c>
      <c r="B1808">
        <v>507</v>
      </c>
      <c r="C1808" t="s">
        <v>25</v>
      </c>
      <c r="D1808" t="s">
        <v>25</v>
      </c>
    </row>
    <row r="1809" spans="1:4" x14ac:dyDescent="0.2">
      <c r="A1809">
        <v>2014</v>
      </c>
      <c r="B1809">
        <v>507</v>
      </c>
      <c r="C1809" t="s">
        <v>25</v>
      </c>
      <c r="D1809" t="s">
        <v>25</v>
      </c>
    </row>
    <row r="1810" spans="1:4" x14ac:dyDescent="0.2">
      <c r="A1810">
        <v>2013</v>
      </c>
      <c r="B1810">
        <v>507</v>
      </c>
      <c r="C1810" t="s">
        <v>25</v>
      </c>
      <c r="D1810" t="s">
        <v>25</v>
      </c>
    </row>
    <row r="1811" spans="1:4" x14ac:dyDescent="0.2">
      <c r="A1811">
        <v>2012</v>
      </c>
      <c r="B1811">
        <v>507</v>
      </c>
      <c r="C1811" t="s">
        <v>25</v>
      </c>
      <c r="D1811" t="s">
        <v>25</v>
      </c>
    </row>
    <row r="1812" spans="1:4" x14ac:dyDescent="0.2">
      <c r="A1812">
        <v>2011</v>
      </c>
      <c r="B1812">
        <v>507</v>
      </c>
      <c r="C1812" t="s">
        <v>25</v>
      </c>
      <c r="D1812" t="s">
        <v>25</v>
      </c>
    </row>
    <row r="1813" spans="1:4" x14ac:dyDescent="0.2">
      <c r="A1813">
        <v>2010</v>
      </c>
      <c r="B1813">
        <v>507</v>
      </c>
      <c r="C1813" t="s">
        <v>25</v>
      </c>
      <c r="D1813" t="s">
        <v>25</v>
      </c>
    </row>
    <row r="1814" spans="1:4" x14ac:dyDescent="0.2">
      <c r="A1814">
        <v>2009</v>
      </c>
      <c r="B1814">
        <v>507</v>
      </c>
      <c r="C1814" t="s">
        <v>25</v>
      </c>
      <c r="D1814" t="s">
        <v>25</v>
      </c>
    </row>
    <row r="1815" spans="1:4" x14ac:dyDescent="0.2">
      <c r="A1815">
        <v>2008</v>
      </c>
      <c r="B1815">
        <v>507</v>
      </c>
      <c r="C1815" t="s">
        <v>25</v>
      </c>
      <c r="D1815" t="s">
        <v>25</v>
      </c>
    </row>
    <row r="1816" spans="1:4" x14ac:dyDescent="0.2">
      <c r="A1816">
        <v>2007</v>
      </c>
      <c r="B1816">
        <v>507</v>
      </c>
      <c r="C1816" t="s">
        <v>25</v>
      </c>
      <c r="D1816" t="s">
        <v>25</v>
      </c>
    </row>
    <row r="1817" spans="1:4" x14ac:dyDescent="0.2">
      <c r="A1817">
        <v>2006</v>
      </c>
      <c r="B1817">
        <v>507</v>
      </c>
      <c r="C1817" t="s">
        <v>25</v>
      </c>
      <c r="D1817" t="s">
        <v>25</v>
      </c>
    </row>
    <row r="1818" spans="1:4" x14ac:dyDescent="0.2">
      <c r="A1818">
        <v>2005</v>
      </c>
      <c r="B1818">
        <v>507</v>
      </c>
      <c r="C1818" t="s">
        <v>25</v>
      </c>
      <c r="D1818" t="s">
        <v>25</v>
      </c>
    </row>
    <row r="1819" spans="1:4" x14ac:dyDescent="0.2">
      <c r="A1819">
        <v>2004</v>
      </c>
      <c r="B1819">
        <v>507</v>
      </c>
      <c r="C1819" t="s">
        <v>25</v>
      </c>
      <c r="D1819" t="s">
        <v>25</v>
      </c>
    </row>
    <row r="1820" spans="1:4" x14ac:dyDescent="0.2">
      <c r="A1820">
        <v>2003</v>
      </c>
      <c r="B1820">
        <v>507</v>
      </c>
      <c r="C1820" t="s">
        <v>25</v>
      </c>
      <c r="D1820" t="s">
        <v>25</v>
      </c>
    </row>
    <row r="1821" spans="1:4" x14ac:dyDescent="0.2">
      <c r="A1821">
        <v>2002</v>
      </c>
      <c r="B1821">
        <v>507</v>
      </c>
      <c r="C1821" t="s">
        <v>25</v>
      </c>
      <c r="D1821" t="s">
        <v>25</v>
      </c>
    </row>
    <row r="1822" spans="1:4" x14ac:dyDescent="0.2">
      <c r="A1822">
        <v>2001</v>
      </c>
      <c r="B1822">
        <v>507</v>
      </c>
      <c r="C1822" t="s">
        <v>25</v>
      </c>
      <c r="D1822" t="s">
        <v>25</v>
      </c>
    </row>
    <row r="1823" spans="1:4" x14ac:dyDescent="0.2">
      <c r="A1823">
        <v>2000</v>
      </c>
      <c r="B1823">
        <v>507</v>
      </c>
      <c r="C1823" t="s">
        <v>25</v>
      </c>
      <c r="D1823" t="s">
        <v>25</v>
      </c>
    </row>
    <row r="1824" spans="1:4" x14ac:dyDescent="0.2">
      <c r="A1824">
        <v>1999</v>
      </c>
      <c r="B1824">
        <v>507</v>
      </c>
      <c r="C1824" t="s">
        <v>25</v>
      </c>
      <c r="D1824" t="s">
        <v>25</v>
      </c>
    </row>
    <row r="1825" spans="1:4" x14ac:dyDescent="0.2">
      <c r="A1825">
        <v>1998</v>
      </c>
      <c r="B1825">
        <v>507</v>
      </c>
      <c r="C1825" t="s">
        <v>25</v>
      </c>
      <c r="D1825" t="s">
        <v>25</v>
      </c>
    </row>
    <row r="1826" spans="1:4" x14ac:dyDescent="0.2">
      <c r="A1826">
        <v>1997</v>
      </c>
      <c r="B1826">
        <v>507</v>
      </c>
      <c r="C1826" t="s">
        <v>25</v>
      </c>
      <c r="D1826" t="s">
        <v>25</v>
      </c>
    </row>
    <row r="1827" spans="1:4" x14ac:dyDescent="0.2">
      <c r="A1827">
        <v>2021</v>
      </c>
      <c r="B1827">
        <v>508</v>
      </c>
      <c r="C1827" t="s">
        <v>25</v>
      </c>
      <c r="D1827" t="s">
        <v>25</v>
      </c>
    </row>
    <row r="1828" spans="1:4" x14ac:dyDescent="0.2">
      <c r="A1828">
        <v>2020</v>
      </c>
      <c r="B1828">
        <v>508</v>
      </c>
      <c r="C1828">
        <v>0.50116731517509727</v>
      </c>
      <c r="D1828">
        <v>0.49883268482490273</v>
      </c>
    </row>
    <row r="1829" spans="1:4" x14ac:dyDescent="0.2">
      <c r="A1829">
        <v>2019</v>
      </c>
      <c r="B1829">
        <v>508</v>
      </c>
      <c r="C1829" t="s">
        <v>25</v>
      </c>
      <c r="D1829" t="s">
        <v>25</v>
      </c>
    </row>
    <row r="1830" spans="1:4" x14ac:dyDescent="0.2">
      <c r="A1830">
        <v>2018</v>
      </c>
      <c r="B1830">
        <v>508</v>
      </c>
      <c r="C1830" t="s">
        <v>25</v>
      </c>
      <c r="D1830" t="s">
        <v>25</v>
      </c>
    </row>
    <row r="1831" spans="1:4" x14ac:dyDescent="0.2">
      <c r="A1831">
        <v>2017</v>
      </c>
      <c r="B1831">
        <v>508</v>
      </c>
      <c r="C1831" t="s">
        <v>25</v>
      </c>
      <c r="D1831" t="s">
        <v>25</v>
      </c>
    </row>
    <row r="1832" spans="1:4" x14ac:dyDescent="0.2">
      <c r="A1832">
        <v>2016</v>
      </c>
      <c r="B1832">
        <v>508</v>
      </c>
      <c r="C1832" t="s">
        <v>25</v>
      </c>
      <c r="D1832" t="s">
        <v>25</v>
      </c>
    </row>
    <row r="1833" spans="1:4" x14ac:dyDescent="0.2">
      <c r="A1833">
        <v>2015</v>
      </c>
      <c r="B1833">
        <v>508</v>
      </c>
      <c r="C1833" t="s">
        <v>25</v>
      </c>
      <c r="D1833" t="s">
        <v>25</v>
      </c>
    </row>
    <row r="1834" spans="1:4" x14ac:dyDescent="0.2">
      <c r="A1834">
        <v>2014</v>
      </c>
      <c r="B1834">
        <v>508</v>
      </c>
      <c r="C1834">
        <v>0.22679449981077332</v>
      </c>
      <c r="D1834">
        <v>0.77320550018922662</v>
      </c>
    </row>
    <row r="1835" spans="1:4" x14ac:dyDescent="0.2">
      <c r="A1835">
        <v>2013</v>
      </c>
      <c r="B1835">
        <v>508</v>
      </c>
      <c r="C1835">
        <v>0.26309894212818918</v>
      </c>
      <c r="D1835">
        <v>0.73690105787181082</v>
      </c>
    </row>
    <row r="1836" spans="1:4" x14ac:dyDescent="0.2">
      <c r="A1836">
        <v>2012</v>
      </c>
      <c r="B1836">
        <v>508</v>
      </c>
      <c r="C1836">
        <v>0.26107095441805578</v>
      </c>
      <c r="D1836">
        <v>0.73892904558194417</v>
      </c>
    </row>
    <row r="1837" spans="1:4" x14ac:dyDescent="0.2">
      <c r="A1837">
        <v>2011</v>
      </c>
      <c r="B1837">
        <v>508</v>
      </c>
      <c r="C1837">
        <v>0.30181200453001134</v>
      </c>
      <c r="D1837">
        <v>0.69818799546998866</v>
      </c>
    </row>
    <row r="1838" spans="1:4" x14ac:dyDescent="0.2">
      <c r="A1838">
        <v>2010</v>
      </c>
      <c r="B1838">
        <v>508</v>
      </c>
      <c r="C1838" t="s">
        <v>25</v>
      </c>
      <c r="D1838" t="s">
        <v>25</v>
      </c>
    </row>
    <row r="1839" spans="1:4" x14ac:dyDescent="0.2">
      <c r="A1839">
        <v>2009</v>
      </c>
      <c r="B1839">
        <v>508</v>
      </c>
      <c r="C1839">
        <v>0.27248988598749546</v>
      </c>
      <c r="D1839">
        <v>0.72751011401250454</v>
      </c>
    </row>
    <row r="1840" spans="1:4" x14ac:dyDescent="0.2">
      <c r="A1840">
        <v>2008</v>
      </c>
      <c r="B1840">
        <v>508</v>
      </c>
      <c r="C1840">
        <v>0.24820384294068507</v>
      </c>
      <c r="D1840">
        <v>0.75179615705931491</v>
      </c>
    </row>
    <row r="1841" spans="1:4" x14ac:dyDescent="0.2">
      <c r="A1841">
        <v>2007</v>
      </c>
      <c r="B1841">
        <v>508</v>
      </c>
      <c r="C1841">
        <v>0.29627652774226543</v>
      </c>
      <c r="D1841">
        <v>0.70372347225773457</v>
      </c>
    </row>
    <row r="1842" spans="1:4" x14ac:dyDescent="0.2">
      <c r="A1842">
        <v>2006</v>
      </c>
      <c r="B1842">
        <v>508</v>
      </c>
      <c r="C1842" t="s">
        <v>25</v>
      </c>
      <c r="D1842" t="s">
        <v>25</v>
      </c>
    </row>
    <row r="1843" spans="1:4" x14ac:dyDescent="0.2">
      <c r="A1843">
        <v>2005</v>
      </c>
      <c r="B1843">
        <v>508</v>
      </c>
      <c r="C1843" t="s">
        <v>25</v>
      </c>
      <c r="D1843" t="s">
        <v>25</v>
      </c>
    </row>
    <row r="1844" spans="1:4" x14ac:dyDescent="0.2">
      <c r="A1844">
        <v>2004</v>
      </c>
      <c r="B1844">
        <v>508</v>
      </c>
      <c r="C1844" t="s">
        <v>25</v>
      </c>
      <c r="D1844" t="s">
        <v>25</v>
      </c>
    </row>
    <row r="1845" spans="1:4" x14ac:dyDescent="0.2">
      <c r="A1845">
        <v>2003</v>
      </c>
      <c r="B1845">
        <v>508</v>
      </c>
      <c r="C1845">
        <v>0.27398843930635841</v>
      </c>
      <c r="D1845">
        <v>0.72601156069364159</v>
      </c>
    </row>
    <row r="1846" spans="1:4" x14ac:dyDescent="0.2">
      <c r="A1846">
        <v>2002</v>
      </c>
      <c r="B1846">
        <v>508</v>
      </c>
      <c r="C1846">
        <v>0.30970307590636631</v>
      </c>
      <c r="D1846">
        <v>0.69029692409363363</v>
      </c>
    </row>
    <row r="1847" spans="1:4" x14ac:dyDescent="0.2">
      <c r="A1847">
        <v>2001</v>
      </c>
      <c r="B1847">
        <v>508</v>
      </c>
      <c r="C1847">
        <v>0.28370967741935488</v>
      </c>
      <c r="D1847">
        <v>0.71629032258064518</v>
      </c>
    </row>
    <row r="1848" spans="1:4" x14ac:dyDescent="0.2">
      <c r="A1848">
        <v>2000</v>
      </c>
      <c r="B1848">
        <v>508</v>
      </c>
      <c r="C1848">
        <v>0.38287323943661977</v>
      </c>
      <c r="D1848">
        <v>0.61712676056338023</v>
      </c>
    </row>
    <row r="1849" spans="1:4" x14ac:dyDescent="0.2">
      <c r="A1849">
        <v>1999</v>
      </c>
      <c r="B1849">
        <v>508</v>
      </c>
      <c r="C1849" t="s">
        <v>25</v>
      </c>
      <c r="D1849" t="s">
        <v>25</v>
      </c>
    </row>
    <row r="1850" spans="1:4" x14ac:dyDescent="0.2">
      <c r="A1850">
        <v>1998</v>
      </c>
      <c r="B1850">
        <v>508</v>
      </c>
      <c r="C1850">
        <v>0.41523169728544007</v>
      </c>
      <c r="D1850">
        <v>0.58476830271455993</v>
      </c>
    </row>
    <row r="1851" spans="1:4" x14ac:dyDescent="0.2">
      <c r="A1851">
        <v>1997</v>
      </c>
      <c r="B1851">
        <v>508</v>
      </c>
      <c r="C1851">
        <v>0.68618715778994532</v>
      </c>
      <c r="D1851">
        <v>0.31381284221005468</v>
      </c>
    </row>
    <row r="1852" spans="1:4" x14ac:dyDescent="0.2">
      <c r="A1852">
        <v>2021</v>
      </c>
      <c r="B1852">
        <v>520</v>
      </c>
      <c r="C1852">
        <v>0.39072164948453608</v>
      </c>
      <c r="D1852">
        <v>0.60927835051546397</v>
      </c>
    </row>
    <row r="1853" spans="1:4" x14ac:dyDescent="0.2">
      <c r="A1853">
        <v>2020</v>
      </c>
      <c r="B1853">
        <v>520</v>
      </c>
      <c r="C1853">
        <v>0.38335315101070155</v>
      </c>
      <c r="D1853">
        <v>0.61664684898929845</v>
      </c>
    </row>
    <row r="1854" spans="1:4" x14ac:dyDescent="0.2">
      <c r="A1854">
        <v>2019</v>
      </c>
      <c r="B1854">
        <v>520</v>
      </c>
      <c r="C1854">
        <v>0.43961661341853042</v>
      </c>
      <c r="D1854">
        <v>0.56038338658146958</v>
      </c>
    </row>
    <row r="1855" spans="1:4" x14ac:dyDescent="0.2">
      <c r="A1855">
        <v>2018</v>
      </c>
      <c r="B1855">
        <v>520</v>
      </c>
      <c r="C1855">
        <v>0.70508394419484521</v>
      </c>
      <c r="D1855">
        <v>0.29491605580515479</v>
      </c>
    </row>
    <row r="1856" spans="1:4" x14ac:dyDescent="0.2">
      <c r="A1856">
        <v>2017</v>
      </c>
      <c r="B1856">
        <v>520</v>
      </c>
      <c r="C1856">
        <v>0.73339631554085982</v>
      </c>
      <c r="D1856">
        <v>0.26660368445914018</v>
      </c>
    </row>
    <row r="1857" spans="1:4" x14ac:dyDescent="0.2">
      <c r="A1857">
        <v>2016</v>
      </c>
      <c r="B1857">
        <v>520</v>
      </c>
      <c r="C1857">
        <v>0.44352617079889806</v>
      </c>
      <c r="D1857">
        <v>0.556473829201102</v>
      </c>
    </row>
    <row r="1858" spans="1:4" x14ac:dyDescent="0.2">
      <c r="A1858">
        <v>2015</v>
      </c>
      <c r="B1858">
        <v>520</v>
      </c>
      <c r="C1858">
        <v>0.41347235560433537</v>
      </c>
      <c r="D1858">
        <v>0.58652764439566463</v>
      </c>
    </row>
    <row r="1859" spans="1:4" x14ac:dyDescent="0.2">
      <c r="A1859">
        <v>2014</v>
      </c>
      <c r="B1859">
        <v>520</v>
      </c>
      <c r="C1859">
        <v>0.34056596347607049</v>
      </c>
      <c r="D1859">
        <v>0.65943403652392951</v>
      </c>
    </row>
    <row r="1860" spans="1:4" x14ac:dyDescent="0.2">
      <c r="A1860">
        <v>2013</v>
      </c>
      <c r="B1860">
        <v>520</v>
      </c>
      <c r="C1860">
        <v>0.31145177891052084</v>
      </c>
      <c r="D1860">
        <v>0.68854822108947911</v>
      </c>
    </row>
    <row r="1861" spans="1:4" x14ac:dyDescent="0.2">
      <c r="A1861">
        <v>2012</v>
      </c>
      <c r="B1861">
        <v>520</v>
      </c>
      <c r="C1861">
        <v>0.45813748900339324</v>
      </c>
      <c r="D1861">
        <v>0.54186251099660676</v>
      </c>
    </row>
    <row r="1862" spans="1:4" x14ac:dyDescent="0.2">
      <c r="A1862">
        <v>2011</v>
      </c>
      <c r="B1862">
        <v>520</v>
      </c>
      <c r="C1862">
        <v>0.42616170173079765</v>
      </c>
      <c r="D1862">
        <v>0.5738382982692023</v>
      </c>
    </row>
    <row r="1863" spans="1:4" x14ac:dyDescent="0.2">
      <c r="A1863">
        <v>2010</v>
      </c>
      <c r="B1863">
        <v>520</v>
      </c>
      <c r="C1863">
        <v>0.41002425222312044</v>
      </c>
      <c r="D1863">
        <v>0.58997574777687956</v>
      </c>
    </row>
    <row r="1864" spans="1:4" x14ac:dyDescent="0.2">
      <c r="A1864">
        <v>2009</v>
      </c>
      <c r="B1864">
        <v>520</v>
      </c>
      <c r="C1864">
        <v>0.63586776859504135</v>
      </c>
      <c r="D1864">
        <v>0.36413223140495865</v>
      </c>
    </row>
    <row r="1865" spans="1:4" x14ac:dyDescent="0.2">
      <c r="A1865">
        <v>2008</v>
      </c>
      <c r="B1865">
        <v>520</v>
      </c>
      <c r="C1865">
        <v>0.66759339704604692</v>
      </c>
      <c r="D1865">
        <v>0.33240660295395308</v>
      </c>
    </row>
    <row r="1866" spans="1:4" x14ac:dyDescent="0.2">
      <c r="A1866">
        <v>2007</v>
      </c>
      <c r="B1866">
        <v>520</v>
      </c>
      <c r="C1866">
        <v>0.5370754716981132</v>
      </c>
      <c r="D1866">
        <v>0.4629245283018868</v>
      </c>
    </row>
    <row r="1867" spans="1:4" x14ac:dyDescent="0.2">
      <c r="A1867">
        <v>2006</v>
      </c>
      <c r="B1867">
        <v>520</v>
      </c>
      <c r="C1867">
        <v>0.47139364303178488</v>
      </c>
      <c r="D1867">
        <v>0.52860635696821512</v>
      </c>
    </row>
    <row r="1868" spans="1:4" x14ac:dyDescent="0.2">
      <c r="A1868">
        <v>2005</v>
      </c>
      <c r="B1868">
        <v>520</v>
      </c>
      <c r="C1868">
        <v>0.72559300873907628</v>
      </c>
      <c r="D1868">
        <v>0.27440699126092372</v>
      </c>
    </row>
    <row r="1869" spans="1:4" x14ac:dyDescent="0.2">
      <c r="A1869">
        <v>2004</v>
      </c>
      <c r="B1869">
        <v>520</v>
      </c>
      <c r="C1869">
        <v>0.74986123959296946</v>
      </c>
      <c r="D1869">
        <v>0.25013876040703054</v>
      </c>
    </row>
    <row r="1870" spans="1:4" x14ac:dyDescent="0.2">
      <c r="A1870">
        <v>2003</v>
      </c>
      <c r="B1870">
        <v>520</v>
      </c>
      <c r="C1870">
        <v>0.66488549618320625</v>
      </c>
      <c r="D1870">
        <v>0.33511450381679375</v>
      </c>
    </row>
    <row r="1871" spans="1:4" x14ac:dyDescent="0.2">
      <c r="A1871">
        <v>2002</v>
      </c>
      <c r="B1871">
        <v>520</v>
      </c>
      <c r="C1871">
        <v>0.70603889457523039</v>
      </c>
      <c r="D1871">
        <v>0.29396110542476961</v>
      </c>
    </row>
    <row r="1872" spans="1:4" x14ac:dyDescent="0.2">
      <c r="A1872">
        <v>2001</v>
      </c>
      <c r="B1872">
        <v>520</v>
      </c>
      <c r="C1872">
        <v>0.66282420749279536</v>
      </c>
      <c r="D1872">
        <v>0.33717579250720464</v>
      </c>
    </row>
    <row r="1873" spans="1:4" x14ac:dyDescent="0.2">
      <c r="A1873">
        <v>2000</v>
      </c>
      <c r="B1873">
        <v>520</v>
      </c>
      <c r="C1873">
        <v>0.62661448140900189</v>
      </c>
      <c r="D1873">
        <v>0.37338551859099811</v>
      </c>
    </row>
    <row r="1874" spans="1:4" x14ac:dyDescent="0.2">
      <c r="A1874">
        <v>1999</v>
      </c>
      <c r="B1874">
        <v>520</v>
      </c>
      <c r="C1874">
        <v>0.62148437500000009</v>
      </c>
      <c r="D1874">
        <v>0.37851562499999991</v>
      </c>
    </row>
    <row r="1875" spans="1:4" x14ac:dyDescent="0.2">
      <c r="A1875">
        <v>1998</v>
      </c>
      <c r="B1875">
        <v>520</v>
      </c>
      <c r="C1875">
        <v>0.73725029377203288</v>
      </c>
      <c r="D1875">
        <v>0.26274970622796712</v>
      </c>
    </row>
    <row r="1876" spans="1:4" x14ac:dyDescent="0.2">
      <c r="A1876">
        <v>1997</v>
      </c>
      <c r="B1876">
        <v>520</v>
      </c>
      <c r="C1876">
        <v>0.55600170867150789</v>
      </c>
      <c r="D1876">
        <v>0.44399829132849211</v>
      </c>
    </row>
    <row r="1877" spans="1:4" x14ac:dyDescent="0.2">
      <c r="A1877">
        <v>2021</v>
      </c>
      <c r="B1877">
        <v>521</v>
      </c>
      <c r="C1877">
        <v>0.44634760705289672</v>
      </c>
      <c r="D1877">
        <v>0.55365239294710333</v>
      </c>
    </row>
    <row r="1878" spans="1:4" x14ac:dyDescent="0.2">
      <c r="A1878">
        <v>2020</v>
      </c>
      <c r="B1878">
        <v>521</v>
      </c>
      <c r="C1878">
        <v>0.37329545454545454</v>
      </c>
      <c r="D1878">
        <v>0.62670454545454546</v>
      </c>
    </row>
    <row r="1879" spans="1:4" x14ac:dyDescent="0.2">
      <c r="A1879">
        <v>2019</v>
      </c>
      <c r="B1879">
        <v>521</v>
      </c>
      <c r="C1879">
        <v>0.51913527397260273</v>
      </c>
      <c r="D1879">
        <v>0.48086472602739727</v>
      </c>
    </row>
    <row r="1880" spans="1:4" x14ac:dyDescent="0.2">
      <c r="A1880">
        <v>2018</v>
      </c>
      <c r="B1880">
        <v>521</v>
      </c>
      <c r="C1880">
        <v>0.54750027469508844</v>
      </c>
      <c r="D1880">
        <v>0.45249972530491156</v>
      </c>
    </row>
    <row r="1881" spans="1:4" x14ac:dyDescent="0.2">
      <c r="A1881">
        <v>2017</v>
      </c>
      <c r="B1881">
        <v>521</v>
      </c>
      <c r="C1881">
        <v>0.6023150062009095</v>
      </c>
      <c r="D1881">
        <v>0.3976849937990905</v>
      </c>
    </row>
    <row r="1882" spans="1:4" x14ac:dyDescent="0.2">
      <c r="A1882">
        <v>2016</v>
      </c>
      <c r="B1882">
        <v>521</v>
      </c>
      <c r="C1882">
        <v>0.49309462915601032</v>
      </c>
      <c r="D1882">
        <v>0.50690537084398968</v>
      </c>
    </row>
    <row r="1883" spans="1:4" x14ac:dyDescent="0.2">
      <c r="A1883">
        <v>2015</v>
      </c>
      <c r="B1883">
        <v>521</v>
      </c>
      <c r="C1883">
        <v>0.42564734895191125</v>
      </c>
      <c r="D1883">
        <v>0.57435265104808875</v>
      </c>
    </row>
    <row r="1884" spans="1:4" x14ac:dyDescent="0.2">
      <c r="A1884">
        <v>2014</v>
      </c>
      <c r="B1884">
        <v>521</v>
      </c>
      <c r="C1884">
        <v>0.3686568465091955</v>
      </c>
      <c r="D1884">
        <v>0.6313431534908045</v>
      </c>
    </row>
    <row r="1885" spans="1:4" x14ac:dyDescent="0.2">
      <c r="A1885">
        <v>2013</v>
      </c>
      <c r="B1885">
        <v>521</v>
      </c>
      <c r="C1885">
        <v>0.57247437774524157</v>
      </c>
      <c r="D1885">
        <v>0.42752562225475843</v>
      </c>
    </row>
    <row r="1886" spans="1:4" x14ac:dyDescent="0.2">
      <c r="A1886">
        <v>2012</v>
      </c>
      <c r="B1886">
        <v>521</v>
      </c>
      <c r="C1886">
        <v>0.29782663086084099</v>
      </c>
      <c r="D1886">
        <v>0.70217336913915895</v>
      </c>
    </row>
    <row r="1887" spans="1:4" x14ac:dyDescent="0.2">
      <c r="A1887">
        <v>2011</v>
      </c>
      <c r="B1887">
        <v>521</v>
      </c>
      <c r="C1887">
        <v>0.36525190839694655</v>
      </c>
      <c r="D1887">
        <v>0.63474809160305345</v>
      </c>
    </row>
    <row r="1888" spans="1:4" x14ac:dyDescent="0.2">
      <c r="A1888">
        <v>2010</v>
      </c>
      <c r="B1888">
        <v>521</v>
      </c>
      <c r="C1888" t="s">
        <v>25</v>
      </c>
      <c r="D1888" t="s">
        <v>25</v>
      </c>
    </row>
    <row r="1889" spans="1:4" x14ac:dyDescent="0.2">
      <c r="A1889">
        <v>2009</v>
      </c>
      <c r="B1889">
        <v>521</v>
      </c>
      <c r="C1889">
        <v>0.45566878980891723</v>
      </c>
      <c r="D1889">
        <v>0.54433121019108277</v>
      </c>
    </row>
    <row r="1890" spans="1:4" x14ac:dyDescent="0.2">
      <c r="A1890">
        <v>2008</v>
      </c>
      <c r="B1890">
        <v>521</v>
      </c>
      <c r="C1890" t="s">
        <v>25</v>
      </c>
      <c r="D1890" t="s">
        <v>25</v>
      </c>
    </row>
    <row r="1891" spans="1:4" x14ac:dyDescent="0.2">
      <c r="A1891">
        <v>2007</v>
      </c>
      <c r="B1891">
        <v>521</v>
      </c>
      <c r="C1891" t="s">
        <v>25</v>
      </c>
      <c r="D1891" t="s">
        <v>25</v>
      </c>
    </row>
    <row r="1892" spans="1:4" x14ac:dyDescent="0.2">
      <c r="A1892">
        <v>2006</v>
      </c>
      <c r="B1892">
        <v>521</v>
      </c>
      <c r="C1892" t="s">
        <v>25</v>
      </c>
      <c r="D1892" t="s">
        <v>25</v>
      </c>
    </row>
    <row r="1893" spans="1:4" x14ac:dyDescent="0.2">
      <c r="A1893">
        <v>2005</v>
      </c>
      <c r="B1893">
        <v>521</v>
      </c>
      <c r="C1893" t="s">
        <v>25</v>
      </c>
      <c r="D1893" t="s">
        <v>25</v>
      </c>
    </row>
    <row r="1894" spans="1:4" x14ac:dyDescent="0.2">
      <c r="A1894">
        <v>2004</v>
      </c>
      <c r="B1894">
        <v>521</v>
      </c>
      <c r="C1894" t="s">
        <v>25</v>
      </c>
      <c r="D1894" t="s">
        <v>25</v>
      </c>
    </row>
    <row r="1895" spans="1:4" x14ac:dyDescent="0.2">
      <c r="A1895">
        <v>2003</v>
      </c>
      <c r="B1895">
        <v>521</v>
      </c>
      <c r="C1895" t="s">
        <v>25</v>
      </c>
      <c r="D1895" t="s">
        <v>25</v>
      </c>
    </row>
    <row r="1896" spans="1:4" x14ac:dyDescent="0.2">
      <c r="A1896">
        <v>2002</v>
      </c>
      <c r="B1896">
        <v>521</v>
      </c>
      <c r="C1896">
        <v>0.51466165413533838</v>
      </c>
      <c r="D1896">
        <v>0.48533834586466162</v>
      </c>
    </row>
    <row r="1897" spans="1:4" x14ac:dyDescent="0.2">
      <c r="A1897">
        <v>2001</v>
      </c>
      <c r="B1897">
        <v>521</v>
      </c>
      <c r="C1897" t="s">
        <v>25</v>
      </c>
      <c r="D1897" t="s">
        <v>25</v>
      </c>
    </row>
    <row r="1898" spans="1:4" x14ac:dyDescent="0.2">
      <c r="A1898">
        <v>2000</v>
      </c>
      <c r="B1898">
        <v>521</v>
      </c>
      <c r="C1898">
        <v>0.37269372693726938</v>
      </c>
      <c r="D1898">
        <v>0.62730627306273057</v>
      </c>
    </row>
    <row r="1899" spans="1:4" x14ac:dyDescent="0.2">
      <c r="A1899">
        <v>1999</v>
      </c>
      <c r="B1899">
        <v>521</v>
      </c>
      <c r="C1899">
        <v>0.47643979057591623</v>
      </c>
      <c r="D1899">
        <v>0.52356020942408377</v>
      </c>
    </row>
    <row r="1900" spans="1:4" x14ac:dyDescent="0.2">
      <c r="A1900">
        <v>1998</v>
      </c>
      <c r="B1900">
        <v>521</v>
      </c>
      <c r="C1900">
        <v>0.64475524475524471</v>
      </c>
      <c r="D1900">
        <v>0.35524475524475529</v>
      </c>
    </row>
    <row r="1901" spans="1:4" x14ac:dyDescent="0.2">
      <c r="A1901">
        <v>1997</v>
      </c>
      <c r="B1901">
        <v>521</v>
      </c>
      <c r="C1901">
        <v>0.47512953367875654</v>
      </c>
      <c r="D1901">
        <v>0.52487046632124346</v>
      </c>
    </row>
    <row r="1902" spans="1:4" x14ac:dyDescent="0.2">
      <c r="A1902">
        <v>2021</v>
      </c>
      <c r="B1902">
        <v>522</v>
      </c>
      <c r="C1902" t="s">
        <v>25</v>
      </c>
      <c r="D1902" t="s">
        <v>25</v>
      </c>
    </row>
    <row r="1903" spans="1:4" x14ac:dyDescent="0.2">
      <c r="A1903">
        <v>2020</v>
      </c>
      <c r="B1903">
        <v>522</v>
      </c>
      <c r="C1903" t="s">
        <v>25</v>
      </c>
      <c r="D1903" t="s">
        <v>25</v>
      </c>
    </row>
    <row r="1904" spans="1:4" x14ac:dyDescent="0.2">
      <c r="A1904">
        <v>2019</v>
      </c>
      <c r="B1904">
        <v>522</v>
      </c>
      <c r="C1904" t="s">
        <v>25</v>
      </c>
      <c r="D1904" t="s">
        <v>25</v>
      </c>
    </row>
    <row r="1905" spans="1:4" x14ac:dyDescent="0.2">
      <c r="A1905">
        <v>2018</v>
      </c>
      <c r="B1905">
        <v>522</v>
      </c>
      <c r="C1905" t="s">
        <v>25</v>
      </c>
      <c r="D1905" t="s">
        <v>25</v>
      </c>
    </row>
    <row r="1906" spans="1:4" x14ac:dyDescent="0.2">
      <c r="A1906">
        <v>2017</v>
      </c>
      <c r="B1906">
        <v>522</v>
      </c>
      <c r="C1906" t="s">
        <v>25</v>
      </c>
      <c r="D1906" t="s">
        <v>25</v>
      </c>
    </row>
    <row r="1907" spans="1:4" x14ac:dyDescent="0.2">
      <c r="A1907">
        <v>2016</v>
      </c>
      <c r="B1907">
        <v>522</v>
      </c>
      <c r="C1907" t="s">
        <v>25</v>
      </c>
      <c r="D1907" t="s">
        <v>25</v>
      </c>
    </row>
    <row r="1908" spans="1:4" x14ac:dyDescent="0.2">
      <c r="A1908">
        <v>2015</v>
      </c>
      <c r="B1908">
        <v>522</v>
      </c>
      <c r="C1908" t="s">
        <v>25</v>
      </c>
      <c r="D1908" t="s">
        <v>25</v>
      </c>
    </row>
    <row r="1909" spans="1:4" x14ac:dyDescent="0.2">
      <c r="A1909">
        <v>2014</v>
      </c>
      <c r="B1909">
        <v>522</v>
      </c>
      <c r="C1909" t="s">
        <v>25</v>
      </c>
      <c r="D1909" t="s">
        <v>25</v>
      </c>
    </row>
    <row r="1910" spans="1:4" x14ac:dyDescent="0.2">
      <c r="A1910">
        <v>2013</v>
      </c>
      <c r="B1910">
        <v>522</v>
      </c>
      <c r="C1910" t="s">
        <v>25</v>
      </c>
      <c r="D1910" t="s">
        <v>25</v>
      </c>
    </row>
    <row r="1911" spans="1:4" x14ac:dyDescent="0.2">
      <c r="A1911">
        <v>2012</v>
      </c>
      <c r="B1911">
        <v>522</v>
      </c>
      <c r="C1911" t="s">
        <v>25</v>
      </c>
      <c r="D1911" t="s">
        <v>25</v>
      </c>
    </row>
    <row r="1912" spans="1:4" x14ac:dyDescent="0.2">
      <c r="A1912">
        <v>2011</v>
      </c>
      <c r="B1912">
        <v>522</v>
      </c>
      <c r="C1912" t="s">
        <v>25</v>
      </c>
      <c r="D1912" t="s">
        <v>25</v>
      </c>
    </row>
    <row r="1913" spans="1:4" x14ac:dyDescent="0.2">
      <c r="A1913">
        <v>2010</v>
      </c>
      <c r="B1913">
        <v>522</v>
      </c>
      <c r="C1913" t="s">
        <v>25</v>
      </c>
      <c r="D1913" t="s">
        <v>25</v>
      </c>
    </row>
    <row r="1914" spans="1:4" x14ac:dyDescent="0.2">
      <c r="A1914">
        <v>2009</v>
      </c>
      <c r="B1914">
        <v>522</v>
      </c>
      <c r="C1914" t="s">
        <v>25</v>
      </c>
      <c r="D1914" t="s">
        <v>25</v>
      </c>
    </row>
    <row r="1915" spans="1:4" x14ac:dyDescent="0.2">
      <c r="A1915">
        <v>2008</v>
      </c>
      <c r="B1915">
        <v>522</v>
      </c>
      <c r="C1915" t="s">
        <v>25</v>
      </c>
      <c r="D1915" t="s">
        <v>25</v>
      </c>
    </row>
    <row r="1916" spans="1:4" x14ac:dyDescent="0.2">
      <c r="A1916">
        <v>2007</v>
      </c>
      <c r="B1916">
        <v>522</v>
      </c>
      <c r="C1916" t="s">
        <v>25</v>
      </c>
      <c r="D1916" t="s">
        <v>25</v>
      </c>
    </row>
    <row r="1917" spans="1:4" x14ac:dyDescent="0.2">
      <c r="A1917">
        <v>2006</v>
      </c>
      <c r="B1917">
        <v>522</v>
      </c>
      <c r="C1917" t="s">
        <v>25</v>
      </c>
      <c r="D1917" t="s">
        <v>25</v>
      </c>
    </row>
    <row r="1918" spans="1:4" x14ac:dyDescent="0.2">
      <c r="A1918">
        <v>2005</v>
      </c>
      <c r="B1918">
        <v>522</v>
      </c>
      <c r="C1918" t="s">
        <v>25</v>
      </c>
      <c r="D1918" t="s">
        <v>25</v>
      </c>
    </row>
    <row r="1919" spans="1:4" x14ac:dyDescent="0.2">
      <c r="A1919">
        <v>2004</v>
      </c>
      <c r="B1919">
        <v>522</v>
      </c>
      <c r="C1919" t="s">
        <v>25</v>
      </c>
      <c r="D1919" t="s">
        <v>25</v>
      </c>
    </row>
    <row r="1920" spans="1:4" x14ac:dyDescent="0.2">
      <c r="A1920">
        <v>2003</v>
      </c>
      <c r="B1920">
        <v>522</v>
      </c>
      <c r="C1920" t="s">
        <v>25</v>
      </c>
      <c r="D1920" t="s">
        <v>25</v>
      </c>
    </row>
    <row r="1921" spans="1:4" x14ac:dyDescent="0.2">
      <c r="A1921">
        <v>2002</v>
      </c>
      <c r="B1921">
        <v>522</v>
      </c>
      <c r="C1921" t="s">
        <v>25</v>
      </c>
      <c r="D1921" t="s">
        <v>25</v>
      </c>
    </row>
    <row r="1922" spans="1:4" x14ac:dyDescent="0.2">
      <c r="A1922">
        <v>2001</v>
      </c>
      <c r="B1922">
        <v>522</v>
      </c>
      <c r="C1922" t="s">
        <v>25</v>
      </c>
      <c r="D1922" t="s">
        <v>25</v>
      </c>
    </row>
    <row r="1923" spans="1:4" x14ac:dyDescent="0.2">
      <c r="A1923">
        <v>2000</v>
      </c>
      <c r="B1923">
        <v>522</v>
      </c>
      <c r="C1923" t="s">
        <v>25</v>
      </c>
      <c r="D1923" t="s">
        <v>25</v>
      </c>
    </row>
    <row r="1924" spans="1:4" x14ac:dyDescent="0.2">
      <c r="A1924">
        <v>1999</v>
      </c>
      <c r="B1924">
        <v>522</v>
      </c>
      <c r="C1924" t="s">
        <v>25</v>
      </c>
      <c r="D1924" t="s">
        <v>25</v>
      </c>
    </row>
    <row r="1925" spans="1:4" x14ac:dyDescent="0.2">
      <c r="A1925">
        <v>1998</v>
      </c>
      <c r="B1925">
        <v>522</v>
      </c>
      <c r="C1925" t="s">
        <v>25</v>
      </c>
      <c r="D1925" t="s">
        <v>25</v>
      </c>
    </row>
    <row r="1926" spans="1:4" x14ac:dyDescent="0.2">
      <c r="A1926">
        <v>1997</v>
      </c>
      <c r="B1926">
        <v>522</v>
      </c>
      <c r="C1926" t="s">
        <v>25</v>
      </c>
      <c r="D1926" t="s">
        <v>25</v>
      </c>
    </row>
    <row r="1927" spans="1:4" x14ac:dyDescent="0.2">
      <c r="A1927">
        <v>2021</v>
      </c>
      <c r="B1927">
        <v>523</v>
      </c>
      <c r="C1927" t="s">
        <v>25</v>
      </c>
      <c r="D1927" t="s">
        <v>25</v>
      </c>
    </row>
    <row r="1928" spans="1:4" x14ac:dyDescent="0.2">
      <c r="A1928">
        <v>2020</v>
      </c>
      <c r="B1928">
        <v>523</v>
      </c>
      <c r="C1928" t="s">
        <v>25</v>
      </c>
      <c r="D1928" t="s">
        <v>25</v>
      </c>
    </row>
    <row r="1929" spans="1:4" x14ac:dyDescent="0.2">
      <c r="A1929">
        <v>2019</v>
      </c>
      <c r="B1929">
        <v>523</v>
      </c>
      <c r="C1929" t="s">
        <v>25</v>
      </c>
      <c r="D1929" t="s">
        <v>25</v>
      </c>
    </row>
    <row r="1930" spans="1:4" x14ac:dyDescent="0.2">
      <c r="A1930">
        <v>2018</v>
      </c>
      <c r="B1930">
        <v>523</v>
      </c>
      <c r="C1930" t="s">
        <v>25</v>
      </c>
      <c r="D1930" t="s">
        <v>25</v>
      </c>
    </row>
    <row r="1931" spans="1:4" x14ac:dyDescent="0.2">
      <c r="A1931">
        <v>2017</v>
      </c>
      <c r="B1931">
        <v>523</v>
      </c>
      <c r="C1931" t="s">
        <v>25</v>
      </c>
      <c r="D1931" t="s">
        <v>25</v>
      </c>
    </row>
    <row r="1932" spans="1:4" x14ac:dyDescent="0.2">
      <c r="A1932">
        <v>2016</v>
      </c>
      <c r="B1932">
        <v>523</v>
      </c>
      <c r="C1932" t="s">
        <v>25</v>
      </c>
      <c r="D1932" t="s">
        <v>25</v>
      </c>
    </row>
    <row r="1933" spans="1:4" x14ac:dyDescent="0.2">
      <c r="A1933">
        <v>2015</v>
      </c>
      <c r="B1933">
        <v>523</v>
      </c>
      <c r="C1933" t="s">
        <v>25</v>
      </c>
      <c r="D1933" t="s">
        <v>25</v>
      </c>
    </row>
    <row r="1934" spans="1:4" x14ac:dyDescent="0.2">
      <c r="A1934">
        <v>2014</v>
      </c>
      <c r="B1934">
        <v>523</v>
      </c>
      <c r="C1934" t="s">
        <v>25</v>
      </c>
      <c r="D1934" t="s">
        <v>25</v>
      </c>
    </row>
    <row r="1935" spans="1:4" x14ac:dyDescent="0.2">
      <c r="A1935">
        <v>2013</v>
      </c>
      <c r="B1935">
        <v>523</v>
      </c>
      <c r="C1935" t="s">
        <v>25</v>
      </c>
      <c r="D1935" t="s">
        <v>25</v>
      </c>
    </row>
    <row r="1936" spans="1:4" x14ac:dyDescent="0.2">
      <c r="A1936">
        <v>2012</v>
      </c>
      <c r="B1936">
        <v>523</v>
      </c>
      <c r="C1936">
        <v>0.58599640933572716</v>
      </c>
      <c r="D1936">
        <v>0.41400359066427284</v>
      </c>
    </row>
    <row r="1937" spans="1:4" x14ac:dyDescent="0.2">
      <c r="A1937">
        <v>2011</v>
      </c>
      <c r="B1937">
        <v>523</v>
      </c>
      <c r="C1937">
        <v>0.46541554959785525</v>
      </c>
      <c r="D1937">
        <v>0.53458445040214475</v>
      </c>
    </row>
    <row r="1938" spans="1:4" x14ac:dyDescent="0.2">
      <c r="A1938">
        <v>2010</v>
      </c>
      <c r="B1938">
        <v>523</v>
      </c>
      <c r="C1938" t="s">
        <v>25</v>
      </c>
      <c r="D1938" t="s">
        <v>25</v>
      </c>
    </row>
    <row r="1939" spans="1:4" x14ac:dyDescent="0.2">
      <c r="A1939">
        <v>2009</v>
      </c>
      <c r="B1939">
        <v>523</v>
      </c>
      <c r="C1939" t="s">
        <v>25</v>
      </c>
      <c r="D1939" t="s">
        <v>25</v>
      </c>
    </row>
    <row r="1940" spans="1:4" x14ac:dyDescent="0.2">
      <c r="A1940">
        <v>2008</v>
      </c>
      <c r="B1940">
        <v>523</v>
      </c>
      <c r="C1940">
        <v>0.74219653179190748</v>
      </c>
      <c r="D1940">
        <v>0.25780346820809252</v>
      </c>
    </row>
    <row r="1941" spans="1:4" x14ac:dyDescent="0.2">
      <c r="A1941">
        <v>2007</v>
      </c>
      <c r="B1941">
        <v>523</v>
      </c>
      <c r="C1941" t="s">
        <v>25</v>
      </c>
      <c r="D1941" t="s">
        <v>25</v>
      </c>
    </row>
    <row r="1942" spans="1:4" x14ac:dyDescent="0.2">
      <c r="A1942">
        <v>2006</v>
      </c>
      <c r="B1942">
        <v>523</v>
      </c>
      <c r="C1942" t="s">
        <v>25</v>
      </c>
      <c r="D1942" t="s">
        <v>25</v>
      </c>
    </row>
    <row r="1943" spans="1:4" x14ac:dyDescent="0.2">
      <c r="A1943">
        <v>2005</v>
      </c>
      <c r="B1943">
        <v>523</v>
      </c>
      <c r="C1943" t="s">
        <v>25</v>
      </c>
      <c r="D1943" t="s">
        <v>25</v>
      </c>
    </row>
    <row r="1944" spans="1:4" x14ac:dyDescent="0.2">
      <c r="A1944">
        <v>2004</v>
      </c>
      <c r="B1944">
        <v>523</v>
      </c>
      <c r="C1944" t="s">
        <v>25</v>
      </c>
      <c r="D1944" t="s">
        <v>25</v>
      </c>
    </row>
    <row r="1945" spans="1:4" x14ac:dyDescent="0.2">
      <c r="A1945">
        <v>2003</v>
      </c>
      <c r="B1945">
        <v>523</v>
      </c>
      <c r="C1945" t="s">
        <v>25</v>
      </c>
      <c r="D1945" t="s">
        <v>25</v>
      </c>
    </row>
    <row r="1946" spans="1:4" x14ac:dyDescent="0.2">
      <c r="A1946">
        <v>2002</v>
      </c>
      <c r="B1946">
        <v>523</v>
      </c>
      <c r="C1946">
        <v>0.74082714740190891</v>
      </c>
      <c r="D1946">
        <v>0.25917285259809109</v>
      </c>
    </row>
    <row r="1947" spans="1:4" x14ac:dyDescent="0.2">
      <c r="A1947">
        <v>2001</v>
      </c>
      <c r="B1947">
        <v>523</v>
      </c>
      <c r="C1947">
        <v>0.70137795275590553</v>
      </c>
      <c r="D1947">
        <v>0.29862204724409447</v>
      </c>
    </row>
    <row r="1948" spans="1:4" x14ac:dyDescent="0.2">
      <c r="A1948">
        <v>2000</v>
      </c>
      <c r="B1948">
        <v>523</v>
      </c>
      <c r="C1948">
        <v>0.56463414634146336</v>
      </c>
      <c r="D1948">
        <v>0.43536585365853664</v>
      </c>
    </row>
    <row r="1949" spans="1:4" x14ac:dyDescent="0.2">
      <c r="A1949">
        <v>1999</v>
      </c>
      <c r="B1949">
        <v>523</v>
      </c>
      <c r="C1949" t="s">
        <v>25</v>
      </c>
      <c r="D1949" t="s">
        <v>25</v>
      </c>
    </row>
    <row r="1950" spans="1:4" x14ac:dyDescent="0.2">
      <c r="A1950">
        <v>1998</v>
      </c>
      <c r="B1950">
        <v>523</v>
      </c>
      <c r="C1950">
        <v>0.70023419203747084</v>
      </c>
      <c r="D1950">
        <v>0.29976580796252916</v>
      </c>
    </row>
    <row r="1951" spans="1:4" x14ac:dyDescent="0.2">
      <c r="A1951">
        <v>1997</v>
      </c>
      <c r="B1951">
        <v>523</v>
      </c>
      <c r="C1951" t="s">
        <v>25</v>
      </c>
      <c r="D1951" t="s">
        <v>25</v>
      </c>
    </row>
    <row r="1952" spans="1:4" x14ac:dyDescent="0.2">
      <c r="A1952">
        <v>2021</v>
      </c>
      <c r="B1952">
        <v>524</v>
      </c>
      <c r="C1952">
        <v>0.5386827973581878</v>
      </c>
      <c r="D1952">
        <v>0.4613172026418122</v>
      </c>
    </row>
    <row r="1953" spans="1:4" x14ac:dyDescent="0.2">
      <c r="A1953">
        <v>2020</v>
      </c>
      <c r="B1953">
        <v>524</v>
      </c>
      <c r="C1953">
        <v>0.62596223299969045</v>
      </c>
      <c r="D1953">
        <v>0.37403776700030955</v>
      </c>
    </row>
    <row r="1954" spans="1:4" x14ac:dyDescent="0.2">
      <c r="A1954">
        <v>2019</v>
      </c>
      <c r="B1954">
        <v>524</v>
      </c>
      <c r="C1954">
        <v>0.55700923299740512</v>
      </c>
      <c r="D1954">
        <v>0.44299076700259488</v>
      </c>
    </row>
    <row r="1955" spans="1:4" x14ac:dyDescent="0.2">
      <c r="A1955">
        <v>2018</v>
      </c>
      <c r="B1955">
        <v>524</v>
      </c>
      <c r="C1955">
        <v>0.45619901625407366</v>
      </c>
      <c r="D1955">
        <v>0.54380098374592634</v>
      </c>
    </row>
    <row r="1956" spans="1:4" x14ac:dyDescent="0.2">
      <c r="A1956">
        <v>2017</v>
      </c>
      <c r="B1956">
        <v>524</v>
      </c>
      <c r="C1956">
        <v>0.35274597679945313</v>
      </c>
      <c r="D1956">
        <v>0.64725402320054681</v>
      </c>
    </row>
    <row r="1957" spans="1:4" x14ac:dyDescent="0.2">
      <c r="A1957">
        <v>2016</v>
      </c>
      <c r="B1957">
        <v>524</v>
      </c>
      <c r="C1957">
        <v>0.52407045009784736</v>
      </c>
      <c r="D1957">
        <v>0.47592954990215264</v>
      </c>
    </row>
    <row r="1958" spans="1:4" x14ac:dyDescent="0.2">
      <c r="A1958">
        <v>2015</v>
      </c>
      <c r="B1958">
        <v>524</v>
      </c>
      <c r="C1958">
        <v>0.61092931937172779</v>
      </c>
      <c r="D1958">
        <v>0.38907068062827221</v>
      </c>
    </row>
    <row r="1959" spans="1:4" x14ac:dyDescent="0.2">
      <c r="A1959">
        <v>2014</v>
      </c>
      <c r="B1959">
        <v>524</v>
      </c>
      <c r="C1959">
        <v>0.37879563852635062</v>
      </c>
      <c r="D1959">
        <v>0.62120436147364932</v>
      </c>
    </row>
    <row r="1960" spans="1:4" x14ac:dyDescent="0.2">
      <c r="A1960">
        <v>2013</v>
      </c>
      <c r="B1960">
        <v>524</v>
      </c>
      <c r="C1960">
        <v>0.53220664238829407</v>
      </c>
      <c r="D1960">
        <v>0.46779335761170593</v>
      </c>
    </row>
    <row r="1961" spans="1:4" x14ac:dyDescent="0.2">
      <c r="A1961">
        <v>2012</v>
      </c>
      <c r="B1961">
        <v>524</v>
      </c>
      <c r="C1961">
        <v>0.63608732360390774</v>
      </c>
      <c r="D1961">
        <v>0.36391267639609226</v>
      </c>
    </row>
    <row r="1962" spans="1:4" x14ac:dyDescent="0.2">
      <c r="A1962">
        <v>2011</v>
      </c>
      <c r="B1962">
        <v>524</v>
      </c>
      <c r="C1962">
        <v>0.4580927384076991</v>
      </c>
      <c r="D1962">
        <v>0.54190726159230085</v>
      </c>
    </row>
    <row r="1963" spans="1:4" x14ac:dyDescent="0.2">
      <c r="A1963">
        <v>2010</v>
      </c>
      <c r="B1963">
        <v>524</v>
      </c>
      <c r="C1963">
        <v>0.47593889242520687</v>
      </c>
      <c r="D1963">
        <v>0.52406110757479318</v>
      </c>
    </row>
    <row r="1964" spans="1:4" x14ac:dyDescent="0.2">
      <c r="A1964">
        <v>2009</v>
      </c>
      <c r="B1964">
        <v>524</v>
      </c>
      <c r="C1964">
        <v>0.59267142664690831</v>
      </c>
      <c r="D1964">
        <v>0.40732857335309169</v>
      </c>
    </row>
    <row r="1965" spans="1:4" x14ac:dyDescent="0.2">
      <c r="A1965">
        <v>2008</v>
      </c>
      <c r="B1965">
        <v>524</v>
      </c>
      <c r="C1965">
        <v>0.71777052650145512</v>
      </c>
      <c r="D1965">
        <v>0.28222947349854488</v>
      </c>
    </row>
    <row r="1966" spans="1:4" x14ac:dyDescent="0.2">
      <c r="A1966">
        <v>2007</v>
      </c>
      <c r="B1966">
        <v>524</v>
      </c>
      <c r="C1966">
        <v>0.69674490585504267</v>
      </c>
      <c r="D1966">
        <v>0.30325509414495733</v>
      </c>
    </row>
    <row r="1967" spans="1:4" x14ac:dyDescent="0.2">
      <c r="A1967">
        <v>2006</v>
      </c>
      <c r="B1967">
        <v>524</v>
      </c>
      <c r="C1967">
        <v>0.43980751236465715</v>
      </c>
      <c r="D1967">
        <v>0.5601924876353428</v>
      </c>
    </row>
    <row r="1968" spans="1:4" x14ac:dyDescent="0.2">
      <c r="A1968">
        <v>2005</v>
      </c>
      <c r="B1968">
        <v>524</v>
      </c>
      <c r="C1968">
        <v>0.55739957716701904</v>
      </c>
      <c r="D1968">
        <v>0.44260042283298096</v>
      </c>
    </row>
    <row r="1969" spans="1:4" x14ac:dyDescent="0.2">
      <c r="A1969">
        <v>2004</v>
      </c>
      <c r="B1969">
        <v>524</v>
      </c>
      <c r="C1969">
        <v>0.58230377906976749</v>
      </c>
      <c r="D1969">
        <v>0.41769622093023251</v>
      </c>
    </row>
    <row r="1970" spans="1:4" x14ac:dyDescent="0.2">
      <c r="A1970">
        <v>2003</v>
      </c>
      <c r="B1970">
        <v>524</v>
      </c>
      <c r="C1970" t="s">
        <v>25</v>
      </c>
      <c r="D1970" t="s">
        <v>25</v>
      </c>
    </row>
    <row r="1971" spans="1:4" x14ac:dyDescent="0.2">
      <c r="A1971">
        <v>2002</v>
      </c>
      <c r="B1971">
        <v>524</v>
      </c>
      <c r="C1971">
        <v>0.58063112078346024</v>
      </c>
      <c r="D1971">
        <v>0.41936887921653976</v>
      </c>
    </row>
    <row r="1972" spans="1:4" x14ac:dyDescent="0.2">
      <c r="A1972">
        <v>2001</v>
      </c>
      <c r="B1972">
        <v>524</v>
      </c>
      <c r="C1972">
        <v>0.70805067429505519</v>
      </c>
      <c r="D1972">
        <v>0.29194932570494481</v>
      </c>
    </row>
    <row r="1973" spans="1:4" x14ac:dyDescent="0.2">
      <c r="A1973">
        <v>2000</v>
      </c>
      <c r="B1973">
        <v>524</v>
      </c>
      <c r="C1973">
        <v>0.56577000672494959</v>
      </c>
      <c r="D1973">
        <v>0.43422999327505041</v>
      </c>
    </row>
    <row r="1974" spans="1:4" x14ac:dyDescent="0.2">
      <c r="A1974">
        <v>1999</v>
      </c>
      <c r="B1974">
        <v>524</v>
      </c>
      <c r="C1974">
        <v>0.67919269581931763</v>
      </c>
      <c r="D1974">
        <v>0.32080730418068237</v>
      </c>
    </row>
    <row r="1975" spans="1:4" x14ac:dyDescent="0.2">
      <c r="A1975">
        <v>1998</v>
      </c>
      <c r="B1975">
        <v>524</v>
      </c>
      <c r="C1975">
        <v>0.74843032159264933</v>
      </c>
      <c r="D1975">
        <v>0.25156967840735067</v>
      </c>
    </row>
    <row r="1976" spans="1:4" x14ac:dyDescent="0.2">
      <c r="A1976">
        <v>1997</v>
      </c>
      <c r="B1976">
        <v>524</v>
      </c>
      <c r="C1976">
        <v>0.65658648339060721</v>
      </c>
      <c r="D1976">
        <v>0.34341351660939279</v>
      </c>
    </row>
    <row r="1977" spans="1:4" x14ac:dyDescent="0.2">
      <c r="A1977">
        <v>2021</v>
      </c>
      <c r="B1977">
        <v>525</v>
      </c>
      <c r="C1977" t="s">
        <v>25</v>
      </c>
      <c r="D1977" t="s">
        <v>25</v>
      </c>
    </row>
    <row r="1978" spans="1:4" x14ac:dyDescent="0.2">
      <c r="A1978">
        <v>2020</v>
      </c>
      <c r="B1978">
        <v>525</v>
      </c>
      <c r="C1978">
        <v>0.36438356164383562</v>
      </c>
      <c r="D1978">
        <v>0.63561643835616444</v>
      </c>
    </row>
    <row r="1979" spans="1:4" x14ac:dyDescent="0.2">
      <c r="A1979">
        <v>2019</v>
      </c>
      <c r="B1979">
        <v>525</v>
      </c>
      <c r="C1979">
        <v>0.72968250585979111</v>
      </c>
      <c r="D1979">
        <v>0.27031749414020889</v>
      </c>
    </row>
    <row r="1980" spans="1:4" x14ac:dyDescent="0.2">
      <c r="A1980">
        <v>2018</v>
      </c>
      <c r="B1980">
        <v>525</v>
      </c>
      <c r="C1980">
        <v>0.35149225538345297</v>
      </c>
      <c r="D1980">
        <v>0.64850774461654703</v>
      </c>
    </row>
    <row r="1981" spans="1:4" x14ac:dyDescent="0.2">
      <c r="A1981">
        <v>2017</v>
      </c>
      <c r="B1981">
        <v>525</v>
      </c>
      <c r="C1981">
        <v>0.26837716484926238</v>
      </c>
      <c r="D1981">
        <v>0.73162283515073767</v>
      </c>
    </row>
    <row r="1982" spans="1:4" x14ac:dyDescent="0.2">
      <c r="A1982">
        <v>2016</v>
      </c>
      <c r="B1982">
        <v>525</v>
      </c>
      <c r="C1982" t="s">
        <v>25</v>
      </c>
      <c r="D1982" t="s">
        <v>25</v>
      </c>
    </row>
    <row r="1983" spans="1:4" x14ac:dyDescent="0.2">
      <c r="A1983">
        <v>2015</v>
      </c>
      <c r="B1983">
        <v>525</v>
      </c>
      <c r="C1983" t="s">
        <v>25</v>
      </c>
      <c r="D1983" t="s">
        <v>25</v>
      </c>
    </row>
    <row r="1984" spans="1:4" x14ac:dyDescent="0.2">
      <c r="A1984">
        <v>2014</v>
      </c>
      <c r="B1984">
        <v>525</v>
      </c>
      <c r="C1984">
        <v>0.36962785114045621</v>
      </c>
      <c r="D1984">
        <v>0.63037214885954373</v>
      </c>
    </row>
    <row r="1985" spans="1:4" x14ac:dyDescent="0.2">
      <c r="A1985">
        <v>2013</v>
      </c>
      <c r="B1985">
        <v>525</v>
      </c>
      <c r="C1985">
        <v>0.54613778705636751</v>
      </c>
      <c r="D1985">
        <v>0.45386221294363249</v>
      </c>
    </row>
    <row r="1986" spans="1:4" x14ac:dyDescent="0.2">
      <c r="A1986">
        <v>2012</v>
      </c>
      <c r="B1986">
        <v>525</v>
      </c>
      <c r="C1986" t="s">
        <v>25</v>
      </c>
      <c r="D1986" t="s">
        <v>25</v>
      </c>
    </row>
    <row r="1987" spans="1:4" x14ac:dyDescent="0.2">
      <c r="A1987">
        <v>2011</v>
      </c>
      <c r="B1987">
        <v>525</v>
      </c>
      <c r="C1987" t="s">
        <v>25</v>
      </c>
      <c r="D1987" t="s">
        <v>25</v>
      </c>
    </row>
    <row r="1988" spans="1:4" x14ac:dyDescent="0.2">
      <c r="A1988">
        <v>2010</v>
      </c>
      <c r="B1988">
        <v>525</v>
      </c>
      <c r="C1988">
        <v>0.47321428571428575</v>
      </c>
      <c r="D1988">
        <v>0.52678571428571419</v>
      </c>
    </row>
    <row r="1989" spans="1:4" x14ac:dyDescent="0.2">
      <c r="A1989">
        <v>2009</v>
      </c>
      <c r="B1989">
        <v>525</v>
      </c>
      <c r="C1989">
        <v>0.36860395446375072</v>
      </c>
      <c r="D1989">
        <v>0.63139604553624928</v>
      </c>
    </row>
    <row r="1990" spans="1:4" x14ac:dyDescent="0.2">
      <c r="A1990">
        <v>2008</v>
      </c>
      <c r="B1990">
        <v>525</v>
      </c>
      <c r="C1990" t="s">
        <v>25</v>
      </c>
      <c r="D1990" t="s">
        <v>25</v>
      </c>
    </row>
    <row r="1991" spans="1:4" x14ac:dyDescent="0.2">
      <c r="A1991">
        <v>2007</v>
      </c>
      <c r="B1991">
        <v>525</v>
      </c>
      <c r="C1991" t="s">
        <v>25</v>
      </c>
      <c r="D1991" t="s">
        <v>25</v>
      </c>
    </row>
    <row r="1992" spans="1:4" x14ac:dyDescent="0.2">
      <c r="A1992">
        <v>2006</v>
      </c>
      <c r="B1992">
        <v>525</v>
      </c>
      <c r="C1992" t="s">
        <v>25</v>
      </c>
      <c r="D1992" t="s">
        <v>25</v>
      </c>
    </row>
    <row r="1993" spans="1:4" x14ac:dyDescent="0.2">
      <c r="A1993">
        <v>2005</v>
      </c>
      <c r="B1993">
        <v>525</v>
      </c>
      <c r="C1993" t="s">
        <v>25</v>
      </c>
      <c r="D1993" t="s">
        <v>25</v>
      </c>
    </row>
    <row r="1994" spans="1:4" x14ac:dyDescent="0.2">
      <c r="A1994">
        <v>2004</v>
      </c>
      <c r="B1994">
        <v>525</v>
      </c>
      <c r="C1994" t="s">
        <v>25</v>
      </c>
      <c r="D1994" t="s">
        <v>25</v>
      </c>
    </row>
    <row r="1995" spans="1:4" x14ac:dyDescent="0.2">
      <c r="A1995">
        <v>2003</v>
      </c>
      <c r="B1995">
        <v>525</v>
      </c>
      <c r="C1995" t="s">
        <v>25</v>
      </c>
      <c r="D1995" t="s">
        <v>25</v>
      </c>
    </row>
    <row r="1996" spans="1:4" x14ac:dyDescent="0.2">
      <c r="A1996">
        <v>2002</v>
      </c>
      <c r="B1996">
        <v>525</v>
      </c>
      <c r="C1996" t="s">
        <v>25</v>
      </c>
      <c r="D1996" t="s">
        <v>25</v>
      </c>
    </row>
    <row r="1997" spans="1:4" x14ac:dyDescent="0.2">
      <c r="A1997">
        <v>2001</v>
      </c>
      <c r="B1997">
        <v>525</v>
      </c>
      <c r="C1997">
        <v>0.29123041013671225</v>
      </c>
      <c r="D1997">
        <v>0.70876958986328775</v>
      </c>
    </row>
    <row r="1998" spans="1:4" x14ac:dyDescent="0.2">
      <c r="A1998">
        <v>2000</v>
      </c>
      <c r="B1998">
        <v>525</v>
      </c>
      <c r="C1998">
        <v>0.31943295924394566</v>
      </c>
      <c r="D1998">
        <v>0.68056704075605434</v>
      </c>
    </row>
    <row r="1999" spans="1:4" x14ac:dyDescent="0.2">
      <c r="A1999">
        <v>1999</v>
      </c>
      <c r="B1999">
        <v>525</v>
      </c>
      <c r="C1999" t="s">
        <v>25</v>
      </c>
      <c r="D1999" t="s">
        <v>25</v>
      </c>
    </row>
    <row r="2000" spans="1:4" x14ac:dyDescent="0.2">
      <c r="A2000">
        <v>1998</v>
      </c>
      <c r="B2000">
        <v>525</v>
      </c>
      <c r="C2000">
        <v>0.29315910837817066</v>
      </c>
      <c r="D2000">
        <v>0.70684089162182939</v>
      </c>
    </row>
    <row r="2001" spans="1:4" x14ac:dyDescent="0.2">
      <c r="A2001">
        <v>1997</v>
      </c>
      <c r="B2001">
        <v>525</v>
      </c>
      <c r="C2001">
        <v>0.3083993660855785</v>
      </c>
      <c r="D2001">
        <v>0.6916006339144215</v>
      </c>
    </row>
    <row r="2002" spans="1:4" x14ac:dyDescent="0.2">
      <c r="A2002">
        <v>2021</v>
      </c>
      <c r="B2002">
        <v>526</v>
      </c>
      <c r="C2002" t="s">
        <v>25</v>
      </c>
      <c r="D2002" t="s">
        <v>25</v>
      </c>
    </row>
    <row r="2003" spans="1:4" x14ac:dyDescent="0.2">
      <c r="A2003">
        <v>2020</v>
      </c>
      <c r="B2003">
        <v>526</v>
      </c>
      <c r="C2003" t="s">
        <v>25</v>
      </c>
      <c r="D2003" t="s">
        <v>25</v>
      </c>
    </row>
    <row r="2004" spans="1:4" x14ac:dyDescent="0.2">
      <c r="A2004">
        <v>2019</v>
      </c>
      <c r="B2004">
        <v>526</v>
      </c>
      <c r="C2004">
        <v>0.72266666666666668</v>
      </c>
      <c r="D2004">
        <v>0.27733333333333332</v>
      </c>
    </row>
    <row r="2005" spans="1:4" x14ac:dyDescent="0.2">
      <c r="A2005">
        <v>2018</v>
      </c>
      <c r="B2005">
        <v>526</v>
      </c>
      <c r="C2005" t="s">
        <v>25</v>
      </c>
      <c r="D2005" t="s">
        <v>25</v>
      </c>
    </row>
    <row r="2006" spans="1:4" x14ac:dyDescent="0.2">
      <c r="A2006">
        <v>2017</v>
      </c>
      <c r="B2006">
        <v>526</v>
      </c>
      <c r="C2006" t="s">
        <v>25</v>
      </c>
      <c r="D2006" t="s">
        <v>25</v>
      </c>
    </row>
    <row r="2007" spans="1:4" x14ac:dyDescent="0.2">
      <c r="A2007">
        <v>2016</v>
      </c>
      <c r="B2007">
        <v>526</v>
      </c>
      <c r="C2007" t="s">
        <v>25</v>
      </c>
      <c r="D2007" t="s">
        <v>25</v>
      </c>
    </row>
    <row r="2008" spans="1:4" x14ac:dyDescent="0.2">
      <c r="A2008">
        <v>2015</v>
      </c>
      <c r="B2008">
        <v>526</v>
      </c>
      <c r="C2008" t="s">
        <v>25</v>
      </c>
      <c r="D2008" t="s">
        <v>25</v>
      </c>
    </row>
    <row r="2009" spans="1:4" x14ac:dyDescent="0.2">
      <c r="A2009">
        <v>2014</v>
      </c>
      <c r="B2009">
        <v>526</v>
      </c>
      <c r="C2009" t="s">
        <v>25</v>
      </c>
      <c r="D2009" t="s">
        <v>25</v>
      </c>
    </row>
    <row r="2010" spans="1:4" x14ac:dyDescent="0.2">
      <c r="A2010">
        <v>2013</v>
      </c>
      <c r="B2010">
        <v>526</v>
      </c>
      <c r="C2010" t="s">
        <v>25</v>
      </c>
      <c r="D2010" t="s">
        <v>25</v>
      </c>
    </row>
    <row r="2011" spans="1:4" x14ac:dyDescent="0.2">
      <c r="A2011">
        <v>2012</v>
      </c>
      <c r="B2011">
        <v>526</v>
      </c>
      <c r="C2011">
        <v>0.72807617187499996</v>
      </c>
      <c r="D2011">
        <v>0.27192382812500004</v>
      </c>
    </row>
    <row r="2012" spans="1:4" x14ac:dyDescent="0.2">
      <c r="A2012">
        <v>2011</v>
      </c>
      <c r="B2012">
        <v>526</v>
      </c>
      <c r="C2012">
        <v>0.69165818921668365</v>
      </c>
      <c r="D2012">
        <v>0.30834181078331635</v>
      </c>
    </row>
    <row r="2013" spans="1:4" x14ac:dyDescent="0.2">
      <c r="A2013">
        <v>2010</v>
      </c>
      <c r="B2013">
        <v>526</v>
      </c>
      <c r="C2013">
        <v>0.71236054022313566</v>
      </c>
      <c r="D2013">
        <v>0.28763945977686434</v>
      </c>
    </row>
    <row r="2014" spans="1:4" x14ac:dyDescent="0.2">
      <c r="A2014">
        <v>2009</v>
      </c>
      <c r="B2014">
        <v>526</v>
      </c>
      <c r="C2014">
        <v>0.58607954545454544</v>
      </c>
      <c r="D2014">
        <v>0.41392045454545456</v>
      </c>
    </row>
    <row r="2015" spans="1:4" x14ac:dyDescent="0.2">
      <c r="A2015">
        <v>2008</v>
      </c>
      <c r="B2015">
        <v>526</v>
      </c>
      <c r="C2015" t="s">
        <v>25</v>
      </c>
      <c r="D2015" t="s">
        <v>25</v>
      </c>
    </row>
    <row r="2016" spans="1:4" x14ac:dyDescent="0.2">
      <c r="A2016">
        <v>2007</v>
      </c>
      <c r="B2016">
        <v>526</v>
      </c>
      <c r="C2016" t="s">
        <v>25</v>
      </c>
      <c r="D2016" t="s">
        <v>25</v>
      </c>
    </row>
    <row r="2017" spans="1:4" x14ac:dyDescent="0.2">
      <c r="A2017">
        <v>2006</v>
      </c>
      <c r="B2017">
        <v>526</v>
      </c>
      <c r="C2017" t="s">
        <v>25</v>
      </c>
      <c r="D2017" t="s">
        <v>25</v>
      </c>
    </row>
    <row r="2018" spans="1:4" x14ac:dyDescent="0.2">
      <c r="A2018">
        <v>2005</v>
      </c>
      <c r="B2018">
        <v>526</v>
      </c>
      <c r="C2018" t="s">
        <v>25</v>
      </c>
      <c r="D2018" t="s">
        <v>25</v>
      </c>
    </row>
    <row r="2019" spans="1:4" x14ac:dyDescent="0.2">
      <c r="A2019">
        <v>2004</v>
      </c>
      <c r="B2019">
        <v>526</v>
      </c>
      <c r="C2019" t="s">
        <v>25</v>
      </c>
      <c r="D2019" t="s">
        <v>25</v>
      </c>
    </row>
    <row r="2020" spans="1:4" x14ac:dyDescent="0.2">
      <c r="A2020">
        <v>2003</v>
      </c>
      <c r="B2020">
        <v>526</v>
      </c>
      <c r="C2020" t="s">
        <v>25</v>
      </c>
      <c r="D2020" t="s">
        <v>25</v>
      </c>
    </row>
    <row r="2021" spans="1:4" x14ac:dyDescent="0.2">
      <c r="A2021">
        <v>2002</v>
      </c>
      <c r="B2021">
        <v>526</v>
      </c>
      <c r="C2021" t="s">
        <v>25</v>
      </c>
      <c r="D2021" t="s">
        <v>25</v>
      </c>
    </row>
    <row r="2022" spans="1:4" x14ac:dyDescent="0.2">
      <c r="A2022">
        <v>2001</v>
      </c>
      <c r="B2022">
        <v>526</v>
      </c>
      <c r="C2022" t="s">
        <v>25</v>
      </c>
      <c r="D2022" t="s">
        <v>25</v>
      </c>
    </row>
    <row r="2023" spans="1:4" x14ac:dyDescent="0.2">
      <c r="A2023">
        <v>2000</v>
      </c>
      <c r="B2023">
        <v>526</v>
      </c>
      <c r="C2023" t="s">
        <v>25</v>
      </c>
      <c r="D2023" t="s">
        <v>25</v>
      </c>
    </row>
    <row r="2024" spans="1:4" x14ac:dyDescent="0.2">
      <c r="A2024">
        <v>1999</v>
      </c>
      <c r="B2024">
        <v>526</v>
      </c>
      <c r="C2024">
        <v>0.59747634069400635</v>
      </c>
      <c r="D2024">
        <v>0.40252365930599365</v>
      </c>
    </row>
    <row r="2025" spans="1:4" x14ac:dyDescent="0.2">
      <c r="A2025">
        <v>1998</v>
      </c>
      <c r="B2025">
        <v>526</v>
      </c>
      <c r="C2025" t="s">
        <v>25</v>
      </c>
      <c r="D2025" t="s">
        <v>25</v>
      </c>
    </row>
    <row r="2026" spans="1:4" x14ac:dyDescent="0.2">
      <c r="A2026">
        <v>1997</v>
      </c>
      <c r="B2026">
        <v>526</v>
      </c>
      <c r="C2026" t="s">
        <v>25</v>
      </c>
      <c r="D2026" t="s">
        <v>25</v>
      </c>
    </row>
    <row r="2027" spans="1:4" x14ac:dyDescent="0.2">
      <c r="A2027">
        <v>2021</v>
      </c>
      <c r="B2027">
        <v>527</v>
      </c>
      <c r="C2027" t="s">
        <v>25</v>
      </c>
      <c r="D2027" t="s">
        <v>25</v>
      </c>
    </row>
    <row r="2028" spans="1:4" x14ac:dyDescent="0.2">
      <c r="A2028">
        <v>2020</v>
      </c>
      <c r="B2028">
        <v>527</v>
      </c>
      <c r="C2028" t="s">
        <v>25</v>
      </c>
      <c r="D2028" t="s">
        <v>25</v>
      </c>
    </row>
    <row r="2029" spans="1:4" x14ac:dyDescent="0.2">
      <c r="A2029">
        <v>2019</v>
      </c>
      <c r="B2029">
        <v>527</v>
      </c>
      <c r="C2029" t="s">
        <v>25</v>
      </c>
      <c r="D2029" t="s">
        <v>25</v>
      </c>
    </row>
    <row r="2030" spans="1:4" x14ac:dyDescent="0.2">
      <c r="A2030">
        <v>2018</v>
      </c>
      <c r="B2030">
        <v>527</v>
      </c>
      <c r="C2030" t="s">
        <v>25</v>
      </c>
      <c r="D2030" t="s">
        <v>25</v>
      </c>
    </row>
    <row r="2031" spans="1:4" x14ac:dyDescent="0.2">
      <c r="A2031">
        <v>2017</v>
      </c>
      <c r="B2031">
        <v>527</v>
      </c>
      <c r="C2031" t="s">
        <v>25</v>
      </c>
      <c r="D2031" t="s">
        <v>25</v>
      </c>
    </row>
    <row r="2032" spans="1:4" x14ac:dyDescent="0.2">
      <c r="A2032">
        <v>2016</v>
      </c>
      <c r="B2032">
        <v>527</v>
      </c>
      <c r="C2032" t="s">
        <v>25</v>
      </c>
      <c r="D2032" t="s">
        <v>25</v>
      </c>
    </row>
    <row r="2033" spans="1:4" x14ac:dyDescent="0.2">
      <c r="A2033">
        <v>2015</v>
      </c>
      <c r="B2033">
        <v>527</v>
      </c>
      <c r="C2033" t="s">
        <v>25</v>
      </c>
      <c r="D2033" t="s">
        <v>25</v>
      </c>
    </row>
    <row r="2034" spans="1:4" x14ac:dyDescent="0.2">
      <c r="A2034">
        <v>2014</v>
      </c>
      <c r="B2034">
        <v>527</v>
      </c>
      <c r="C2034" t="s">
        <v>25</v>
      </c>
      <c r="D2034" t="s">
        <v>25</v>
      </c>
    </row>
    <row r="2035" spans="1:4" x14ac:dyDescent="0.2">
      <c r="A2035">
        <v>2013</v>
      </c>
      <c r="B2035">
        <v>527</v>
      </c>
      <c r="C2035" t="s">
        <v>25</v>
      </c>
      <c r="D2035" t="s">
        <v>25</v>
      </c>
    </row>
    <row r="2036" spans="1:4" x14ac:dyDescent="0.2">
      <c r="A2036">
        <v>2012</v>
      </c>
      <c r="B2036">
        <v>527</v>
      </c>
      <c r="C2036" t="s">
        <v>25</v>
      </c>
      <c r="D2036" t="s">
        <v>25</v>
      </c>
    </row>
    <row r="2037" spans="1:4" x14ac:dyDescent="0.2">
      <c r="A2037">
        <v>2011</v>
      </c>
      <c r="B2037">
        <v>527</v>
      </c>
      <c r="C2037" t="s">
        <v>25</v>
      </c>
      <c r="D2037" t="s">
        <v>25</v>
      </c>
    </row>
    <row r="2038" spans="1:4" x14ac:dyDescent="0.2">
      <c r="A2038">
        <v>2010</v>
      </c>
      <c r="B2038">
        <v>527</v>
      </c>
      <c r="C2038" t="s">
        <v>25</v>
      </c>
      <c r="D2038" t="s">
        <v>25</v>
      </c>
    </row>
    <row r="2039" spans="1:4" x14ac:dyDescent="0.2">
      <c r="A2039">
        <v>2009</v>
      </c>
      <c r="B2039">
        <v>527</v>
      </c>
      <c r="C2039" t="s">
        <v>25</v>
      </c>
      <c r="D2039" t="s">
        <v>25</v>
      </c>
    </row>
    <row r="2040" spans="1:4" x14ac:dyDescent="0.2">
      <c r="A2040">
        <v>2008</v>
      </c>
      <c r="B2040">
        <v>527</v>
      </c>
      <c r="C2040" t="s">
        <v>25</v>
      </c>
      <c r="D2040" t="s">
        <v>25</v>
      </c>
    </row>
    <row r="2041" spans="1:4" x14ac:dyDescent="0.2">
      <c r="A2041">
        <v>2007</v>
      </c>
      <c r="B2041">
        <v>527</v>
      </c>
      <c r="C2041" t="s">
        <v>25</v>
      </c>
      <c r="D2041" t="s">
        <v>25</v>
      </c>
    </row>
    <row r="2042" spans="1:4" x14ac:dyDescent="0.2">
      <c r="A2042">
        <v>2006</v>
      </c>
      <c r="B2042">
        <v>527</v>
      </c>
      <c r="C2042" t="s">
        <v>25</v>
      </c>
      <c r="D2042" t="s">
        <v>25</v>
      </c>
    </row>
    <row r="2043" spans="1:4" x14ac:dyDescent="0.2">
      <c r="A2043">
        <v>2005</v>
      </c>
      <c r="B2043">
        <v>527</v>
      </c>
      <c r="C2043" t="s">
        <v>25</v>
      </c>
      <c r="D2043" t="s">
        <v>25</v>
      </c>
    </row>
    <row r="2044" spans="1:4" x14ac:dyDescent="0.2">
      <c r="A2044">
        <v>2004</v>
      </c>
      <c r="B2044">
        <v>527</v>
      </c>
      <c r="C2044" t="s">
        <v>25</v>
      </c>
      <c r="D2044" t="s">
        <v>25</v>
      </c>
    </row>
    <row r="2045" spans="1:4" x14ac:dyDescent="0.2">
      <c r="A2045">
        <v>2003</v>
      </c>
      <c r="B2045">
        <v>527</v>
      </c>
      <c r="C2045" t="s">
        <v>25</v>
      </c>
      <c r="D2045" t="s">
        <v>25</v>
      </c>
    </row>
    <row r="2046" spans="1:4" x14ac:dyDescent="0.2">
      <c r="A2046">
        <v>2002</v>
      </c>
      <c r="B2046">
        <v>527</v>
      </c>
      <c r="C2046" t="s">
        <v>25</v>
      </c>
      <c r="D2046" t="s">
        <v>25</v>
      </c>
    </row>
    <row r="2047" spans="1:4" x14ac:dyDescent="0.2">
      <c r="A2047">
        <v>2001</v>
      </c>
      <c r="B2047">
        <v>527</v>
      </c>
      <c r="C2047" t="s">
        <v>25</v>
      </c>
      <c r="D2047" t="s">
        <v>25</v>
      </c>
    </row>
    <row r="2048" spans="1:4" x14ac:dyDescent="0.2">
      <c r="A2048">
        <v>2000</v>
      </c>
      <c r="B2048">
        <v>527</v>
      </c>
      <c r="C2048" t="s">
        <v>25</v>
      </c>
      <c r="D2048" t="s">
        <v>25</v>
      </c>
    </row>
    <row r="2049" spans="1:4" x14ac:dyDescent="0.2">
      <c r="A2049">
        <v>1999</v>
      </c>
      <c r="B2049">
        <v>527</v>
      </c>
      <c r="C2049" t="s">
        <v>25</v>
      </c>
      <c r="D2049" t="s">
        <v>25</v>
      </c>
    </row>
    <row r="2050" spans="1:4" x14ac:dyDescent="0.2">
      <c r="A2050">
        <v>1998</v>
      </c>
      <c r="B2050">
        <v>527</v>
      </c>
      <c r="C2050">
        <v>0.28270148129550593</v>
      </c>
      <c r="D2050">
        <v>0.71729851870449401</v>
      </c>
    </row>
    <row r="2051" spans="1:4" x14ac:dyDescent="0.2">
      <c r="A2051">
        <v>1997</v>
      </c>
      <c r="B2051">
        <v>527</v>
      </c>
      <c r="C2051" t="s">
        <v>25</v>
      </c>
      <c r="D2051" t="s">
        <v>25</v>
      </c>
    </row>
    <row r="2052" spans="1:4" x14ac:dyDescent="0.2">
      <c r="A2052">
        <v>2021</v>
      </c>
      <c r="B2052">
        <v>528</v>
      </c>
      <c r="C2052" t="s">
        <v>25</v>
      </c>
      <c r="D2052" t="s">
        <v>25</v>
      </c>
    </row>
    <row r="2053" spans="1:4" x14ac:dyDescent="0.2">
      <c r="A2053">
        <v>2020</v>
      </c>
      <c r="B2053">
        <v>528</v>
      </c>
      <c r="C2053" t="s">
        <v>25</v>
      </c>
      <c r="D2053" t="s">
        <v>25</v>
      </c>
    </row>
    <row r="2054" spans="1:4" x14ac:dyDescent="0.2">
      <c r="A2054">
        <v>2019</v>
      </c>
      <c r="B2054">
        <v>528</v>
      </c>
      <c r="C2054" t="s">
        <v>25</v>
      </c>
      <c r="D2054" t="s">
        <v>25</v>
      </c>
    </row>
    <row r="2055" spans="1:4" x14ac:dyDescent="0.2">
      <c r="A2055">
        <v>2018</v>
      </c>
      <c r="B2055">
        <v>528</v>
      </c>
      <c r="C2055" t="s">
        <v>25</v>
      </c>
      <c r="D2055" t="s">
        <v>25</v>
      </c>
    </row>
    <row r="2056" spans="1:4" x14ac:dyDescent="0.2">
      <c r="A2056">
        <v>2017</v>
      </c>
      <c r="B2056">
        <v>528</v>
      </c>
      <c r="C2056" t="s">
        <v>25</v>
      </c>
      <c r="D2056" t="s">
        <v>25</v>
      </c>
    </row>
    <row r="2057" spans="1:4" x14ac:dyDescent="0.2">
      <c r="A2057">
        <v>2016</v>
      </c>
      <c r="B2057">
        <v>528</v>
      </c>
      <c r="C2057" t="s">
        <v>25</v>
      </c>
      <c r="D2057" t="s">
        <v>25</v>
      </c>
    </row>
    <row r="2058" spans="1:4" x14ac:dyDescent="0.2">
      <c r="A2058">
        <v>2015</v>
      </c>
      <c r="B2058">
        <v>528</v>
      </c>
      <c r="C2058" t="s">
        <v>25</v>
      </c>
      <c r="D2058" t="s">
        <v>25</v>
      </c>
    </row>
    <row r="2059" spans="1:4" x14ac:dyDescent="0.2">
      <c r="A2059">
        <v>2014</v>
      </c>
      <c r="B2059">
        <v>528</v>
      </c>
      <c r="C2059" t="s">
        <v>25</v>
      </c>
      <c r="D2059" t="s">
        <v>25</v>
      </c>
    </row>
    <row r="2060" spans="1:4" x14ac:dyDescent="0.2">
      <c r="A2060">
        <v>2013</v>
      </c>
      <c r="B2060">
        <v>528</v>
      </c>
      <c r="C2060" t="s">
        <v>25</v>
      </c>
      <c r="D2060" t="s">
        <v>25</v>
      </c>
    </row>
    <row r="2061" spans="1:4" x14ac:dyDescent="0.2">
      <c r="A2061">
        <v>2012</v>
      </c>
      <c r="B2061">
        <v>528</v>
      </c>
      <c r="C2061" t="s">
        <v>25</v>
      </c>
      <c r="D2061" t="s">
        <v>25</v>
      </c>
    </row>
    <row r="2062" spans="1:4" x14ac:dyDescent="0.2">
      <c r="A2062">
        <v>2011</v>
      </c>
      <c r="B2062">
        <v>528</v>
      </c>
      <c r="C2062" t="s">
        <v>25</v>
      </c>
      <c r="D2062" t="s">
        <v>25</v>
      </c>
    </row>
    <row r="2063" spans="1:4" x14ac:dyDescent="0.2">
      <c r="A2063">
        <v>2010</v>
      </c>
      <c r="B2063">
        <v>528</v>
      </c>
      <c r="C2063" t="s">
        <v>25</v>
      </c>
      <c r="D2063" t="s">
        <v>25</v>
      </c>
    </row>
    <row r="2064" spans="1:4" x14ac:dyDescent="0.2">
      <c r="A2064">
        <v>2009</v>
      </c>
      <c r="B2064">
        <v>528</v>
      </c>
      <c r="C2064" t="s">
        <v>25</v>
      </c>
      <c r="D2064" t="s">
        <v>25</v>
      </c>
    </row>
    <row r="2065" spans="1:4" x14ac:dyDescent="0.2">
      <c r="A2065">
        <v>2008</v>
      </c>
      <c r="B2065">
        <v>528</v>
      </c>
      <c r="C2065" t="s">
        <v>25</v>
      </c>
      <c r="D2065" t="s">
        <v>25</v>
      </c>
    </row>
    <row r="2066" spans="1:4" x14ac:dyDescent="0.2">
      <c r="A2066">
        <v>2007</v>
      </c>
      <c r="B2066">
        <v>528</v>
      </c>
      <c r="C2066" t="s">
        <v>25</v>
      </c>
      <c r="D2066" t="s">
        <v>25</v>
      </c>
    </row>
    <row r="2067" spans="1:4" x14ac:dyDescent="0.2">
      <c r="A2067">
        <v>2006</v>
      </c>
      <c r="B2067">
        <v>528</v>
      </c>
      <c r="C2067" t="s">
        <v>25</v>
      </c>
      <c r="D2067" t="s">
        <v>25</v>
      </c>
    </row>
    <row r="2068" spans="1:4" x14ac:dyDescent="0.2">
      <c r="A2068">
        <v>2005</v>
      </c>
      <c r="B2068">
        <v>528</v>
      </c>
      <c r="C2068" t="s">
        <v>25</v>
      </c>
      <c r="D2068" t="s">
        <v>25</v>
      </c>
    </row>
    <row r="2069" spans="1:4" x14ac:dyDescent="0.2">
      <c r="A2069">
        <v>2004</v>
      </c>
      <c r="B2069">
        <v>528</v>
      </c>
      <c r="C2069">
        <v>0.46213275299238304</v>
      </c>
      <c r="D2069">
        <v>0.5378672470076169</v>
      </c>
    </row>
    <row r="2070" spans="1:4" x14ac:dyDescent="0.2">
      <c r="A2070">
        <v>2003</v>
      </c>
      <c r="B2070">
        <v>528</v>
      </c>
      <c r="C2070" t="s">
        <v>25</v>
      </c>
      <c r="D2070" t="s">
        <v>25</v>
      </c>
    </row>
    <row r="2071" spans="1:4" x14ac:dyDescent="0.2">
      <c r="A2071">
        <v>2002</v>
      </c>
      <c r="B2071">
        <v>528</v>
      </c>
      <c r="C2071">
        <v>0.36101949025487262</v>
      </c>
      <c r="D2071">
        <v>0.63898050974512732</v>
      </c>
    </row>
    <row r="2072" spans="1:4" x14ac:dyDescent="0.2">
      <c r="A2072">
        <v>2001</v>
      </c>
      <c r="B2072">
        <v>528</v>
      </c>
      <c r="C2072">
        <v>0.37696629213483146</v>
      </c>
      <c r="D2072">
        <v>0.62303370786516854</v>
      </c>
    </row>
    <row r="2073" spans="1:4" x14ac:dyDescent="0.2">
      <c r="A2073">
        <v>2000</v>
      </c>
      <c r="B2073">
        <v>528</v>
      </c>
      <c r="C2073" t="s">
        <v>25</v>
      </c>
      <c r="D2073" t="s">
        <v>25</v>
      </c>
    </row>
    <row r="2074" spans="1:4" x14ac:dyDescent="0.2">
      <c r="A2074">
        <v>1999</v>
      </c>
      <c r="B2074">
        <v>528</v>
      </c>
      <c r="C2074" t="s">
        <v>25</v>
      </c>
      <c r="D2074" t="s">
        <v>25</v>
      </c>
    </row>
    <row r="2075" spans="1:4" x14ac:dyDescent="0.2">
      <c r="A2075">
        <v>1998</v>
      </c>
      <c r="B2075">
        <v>528</v>
      </c>
      <c r="C2075" t="s">
        <v>25</v>
      </c>
      <c r="D2075" t="s">
        <v>25</v>
      </c>
    </row>
    <row r="2076" spans="1:4" x14ac:dyDescent="0.2">
      <c r="A2076">
        <v>1997</v>
      </c>
      <c r="B2076">
        <v>528</v>
      </c>
      <c r="C2076" t="s">
        <v>25</v>
      </c>
      <c r="D2076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1D4F2-34ED-FB46-B1A2-E007E52DC08F}">
  <dimension ref="A1:B84"/>
  <sheetViews>
    <sheetView workbookViewId="0">
      <selection activeCell="D8" sqref="D8"/>
    </sheetView>
  </sheetViews>
  <sheetFormatPr baseColWidth="10" defaultRowHeight="16" x14ac:dyDescent="0.2"/>
  <cols>
    <col min="1" max="1" width="10.83203125" style="16"/>
    <col min="2" max="2" width="12.1640625" style="16" bestFit="1" customWidth="1"/>
  </cols>
  <sheetData>
    <row r="1" spans="1:2" x14ac:dyDescent="0.2">
      <c r="A1" s="15" t="s">
        <v>1</v>
      </c>
      <c r="B1" s="15" t="s">
        <v>2</v>
      </c>
    </row>
    <row r="2" spans="1:2" x14ac:dyDescent="0.2">
      <c r="A2" s="16">
        <v>100</v>
      </c>
      <c r="B2" s="17" t="s">
        <v>12</v>
      </c>
    </row>
    <row r="3" spans="1:2" x14ac:dyDescent="0.2">
      <c r="A3" s="16">
        <v>101</v>
      </c>
      <c r="B3" s="17" t="s">
        <v>12</v>
      </c>
    </row>
    <row r="4" spans="1:2" x14ac:dyDescent="0.2">
      <c r="A4" s="16">
        <v>102</v>
      </c>
      <c r="B4" s="17" t="s">
        <v>12</v>
      </c>
    </row>
    <row r="5" spans="1:2" x14ac:dyDescent="0.2">
      <c r="A5" s="16">
        <v>103</v>
      </c>
      <c r="B5" s="17" t="s">
        <v>12</v>
      </c>
    </row>
    <row r="6" spans="1:2" x14ac:dyDescent="0.2">
      <c r="A6" s="16">
        <v>104</v>
      </c>
      <c r="B6" s="17" t="s">
        <v>12</v>
      </c>
    </row>
    <row r="7" spans="1:2" x14ac:dyDescent="0.2">
      <c r="A7" s="16">
        <v>105</v>
      </c>
      <c r="B7" s="17" t="s">
        <v>12</v>
      </c>
    </row>
    <row r="8" spans="1:2" x14ac:dyDescent="0.2">
      <c r="A8" s="16">
        <v>106</v>
      </c>
      <c r="B8" s="17" t="s">
        <v>12</v>
      </c>
    </row>
    <row r="9" spans="1:2" x14ac:dyDescent="0.2">
      <c r="A9" s="16">
        <v>107</v>
      </c>
      <c r="B9" s="17" t="s">
        <v>12</v>
      </c>
    </row>
    <row r="10" spans="1:2" x14ac:dyDescent="0.2">
      <c r="A10" s="16">
        <v>108</v>
      </c>
      <c r="B10" s="17" t="s">
        <v>12</v>
      </c>
    </row>
    <row r="11" spans="1:2" x14ac:dyDescent="0.2">
      <c r="A11" s="16">
        <v>120</v>
      </c>
      <c r="B11" s="17" t="s">
        <v>12</v>
      </c>
    </row>
    <row r="12" spans="1:2" x14ac:dyDescent="0.2">
      <c r="A12" s="16">
        <v>121</v>
      </c>
      <c r="B12" s="17" t="s">
        <v>12</v>
      </c>
    </row>
    <row r="13" spans="1:2" x14ac:dyDescent="0.2">
      <c r="A13" s="16">
        <v>122</v>
      </c>
      <c r="B13" s="17" t="s">
        <v>12</v>
      </c>
    </row>
    <row r="14" spans="1:2" x14ac:dyDescent="0.2">
      <c r="A14" s="16">
        <v>123</v>
      </c>
      <c r="B14" s="17" t="s">
        <v>12</v>
      </c>
    </row>
    <row r="15" spans="1:2" x14ac:dyDescent="0.2">
      <c r="A15" s="16">
        <v>124</v>
      </c>
      <c r="B15" s="17" t="s">
        <v>12</v>
      </c>
    </row>
    <row r="16" spans="1:2" x14ac:dyDescent="0.2">
      <c r="A16" s="16">
        <v>125</v>
      </c>
      <c r="B16" s="17" t="s">
        <v>12</v>
      </c>
    </row>
    <row r="17" spans="1:2" x14ac:dyDescent="0.2">
      <c r="A17" s="16">
        <v>126</v>
      </c>
      <c r="B17" s="17" t="s">
        <v>12</v>
      </c>
    </row>
    <row r="18" spans="1:2" x14ac:dyDescent="0.2">
      <c r="A18" s="16">
        <v>127</v>
      </c>
      <c r="B18" s="17" t="s">
        <v>12</v>
      </c>
    </row>
    <row r="19" spans="1:2" x14ac:dyDescent="0.2">
      <c r="A19" s="16">
        <v>128</v>
      </c>
      <c r="B19" s="17" t="s">
        <v>12</v>
      </c>
    </row>
    <row r="20" spans="1:2" x14ac:dyDescent="0.2">
      <c r="A20" s="16">
        <v>300</v>
      </c>
      <c r="B20" s="17" t="s">
        <v>15</v>
      </c>
    </row>
    <row r="21" spans="1:2" x14ac:dyDescent="0.2">
      <c r="A21" s="16">
        <v>301</v>
      </c>
      <c r="B21" s="17" t="s">
        <v>15</v>
      </c>
    </row>
    <row r="22" spans="1:2" x14ac:dyDescent="0.2">
      <c r="A22" s="16">
        <v>302</v>
      </c>
      <c r="B22" s="17" t="s">
        <v>15</v>
      </c>
    </row>
    <row r="23" spans="1:2" x14ac:dyDescent="0.2">
      <c r="A23" s="16">
        <v>303</v>
      </c>
      <c r="B23" s="17" t="s">
        <v>15</v>
      </c>
    </row>
    <row r="24" spans="1:2" x14ac:dyDescent="0.2">
      <c r="A24" s="16">
        <v>304</v>
      </c>
      <c r="B24" s="17" t="s">
        <v>15</v>
      </c>
    </row>
    <row r="25" spans="1:2" x14ac:dyDescent="0.2">
      <c r="A25" s="16">
        <v>305</v>
      </c>
      <c r="B25" s="17" t="s">
        <v>15</v>
      </c>
    </row>
    <row r="26" spans="1:2" x14ac:dyDescent="0.2">
      <c r="A26" s="16">
        <v>306</v>
      </c>
      <c r="B26" s="17" t="s">
        <v>15</v>
      </c>
    </row>
    <row r="27" spans="1:2" x14ac:dyDescent="0.2">
      <c r="A27" s="16">
        <v>307</v>
      </c>
      <c r="B27" s="17" t="s">
        <v>15</v>
      </c>
    </row>
    <row r="28" spans="1:2" x14ac:dyDescent="0.2">
      <c r="A28" s="16">
        <v>308</v>
      </c>
      <c r="B28" s="17" t="s">
        <v>15</v>
      </c>
    </row>
    <row r="29" spans="1:2" x14ac:dyDescent="0.2">
      <c r="A29" s="16">
        <v>309</v>
      </c>
      <c r="B29" s="17" t="s">
        <v>15</v>
      </c>
    </row>
    <row r="30" spans="1:2" x14ac:dyDescent="0.2">
      <c r="A30" s="16">
        <v>310</v>
      </c>
      <c r="B30" s="17" t="s">
        <v>15</v>
      </c>
    </row>
    <row r="31" spans="1:2" x14ac:dyDescent="0.2">
      <c r="A31" s="16">
        <v>311</v>
      </c>
      <c r="B31" s="17" t="s">
        <v>15</v>
      </c>
    </row>
    <row r="32" spans="1:2" x14ac:dyDescent="0.2">
      <c r="A32" s="16">
        <v>312</v>
      </c>
      <c r="B32" s="17" t="s">
        <v>15</v>
      </c>
    </row>
    <row r="33" spans="1:2" x14ac:dyDescent="0.2">
      <c r="A33" s="16">
        <v>313</v>
      </c>
      <c r="B33" s="17" t="s">
        <v>15</v>
      </c>
    </row>
    <row r="34" spans="1:2" x14ac:dyDescent="0.2">
      <c r="A34" s="16">
        <v>314</v>
      </c>
      <c r="B34" s="17" t="s">
        <v>15</v>
      </c>
    </row>
    <row r="35" spans="1:2" x14ac:dyDescent="0.2">
      <c r="A35" s="16">
        <v>320</v>
      </c>
      <c r="B35" s="17" t="s">
        <v>15</v>
      </c>
    </row>
    <row r="36" spans="1:2" x14ac:dyDescent="0.2">
      <c r="A36" s="16">
        <v>321</v>
      </c>
      <c r="B36" s="17" t="s">
        <v>15</v>
      </c>
    </row>
    <row r="37" spans="1:2" x14ac:dyDescent="0.2">
      <c r="A37" s="16">
        <v>322</v>
      </c>
      <c r="B37" s="17" t="s">
        <v>15</v>
      </c>
    </row>
    <row r="38" spans="1:2" x14ac:dyDescent="0.2">
      <c r="A38" s="16">
        <v>323</v>
      </c>
      <c r="B38" s="17" t="s">
        <v>15</v>
      </c>
    </row>
    <row r="39" spans="1:2" x14ac:dyDescent="0.2">
      <c r="A39" s="16">
        <v>324</v>
      </c>
      <c r="B39" s="17" t="s">
        <v>15</v>
      </c>
    </row>
    <row r="40" spans="1:2" x14ac:dyDescent="0.2">
      <c r="A40" s="16">
        <v>325</v>
      </c>
      <c r="B40" s="17" t="s">
        <v>15</v>
      </c>
    </row>
    <row r="41" spans="1:2" x14ac:dyDescent="0.2">
      <c r="A41" s="16">
        <v>326</v>
      </c>
      <c r="B41" s="17" t="s">
        <v>15</v>
      </c>
    </row>
    <row r="42" spans="1:2" x14ac:dyDescent="0.2">
      <c r="A42" s="16">
        <v>327</v>
      </c>
      <c r="B42" s="17" t="s">
        <v>15</v>
      </c>
    </row>
    <row r="43" spans="1:2" x14ac:dyDescent="0.2">
      <c r="A43" s="16">
        <v>328</v>
      </c>
      <c r="B43" s="17" t="s">
        <v>15</v>
      </c>
    </row>
    <row r="44" spans="1:2" x14ac:dyDescent="0.2">
      <c r="A44" s="16">
        <v>331</v>
      </c>
      <c r="B44" s="17" t="s">
        <v>15</v>
      </c>
    </row>
    <row r="45" spans="1:2" x14ac:dyDescent="0.2">
      <c r="A45" s="16">
        <v>332</v>
      </c>
      <c r="B45" s="17" t="s">
        <v>15</v>
      </c>
    </row>
    <row r="46" spans="1:2" x14ac:dyDescent="0.2">
      <c r="A46" s="16">
        <v>333</v>
      </c>
      <c r="B46" s="17" t="s">
        <v>15</v>
      </c>
    </row>
    <row r="47" spans="1:2" x14ac:dyDescent="0.2">
      <c r="A47" s="16">
        <v>400</v>
      </c>
      <c r="B47" s="17" t="s">
        <v>17</v>
      </c>
    </row>
    <row r="48" spans="1:2" x14ac:dyDescent="0.2">
      <c r="A48" s="16">
        <v>401</v>
      </c>
      <c r="B48" s="17" t="s">
        <v>17</v>
      </c>
    </row>
    <row r="49" spans="1:2" x14ac:dyDescent="0.2">
      <c r="A49" s="16">
        <v>402</v>
      </c>
      <c r="B49" s="17" t="s">
        <v>17</v>
      </c>
    </row>
    <row r="50" spans="1:2" x14ac:dyDescent="0.2">
      <c r="A50" s="16">
        <v>403</v>
      </c>
      <c r="B50" s="17" t="s">
        <v>17</v>
      </c>
    </row>
    <row r="51" spans="1:2" x14ac:dyDescent="0.2">
      <c r="A51" s="16">
        <v>404</v>
      </c>
      <c r="B51" s="17" t="s">
        <v>17</v>
      </c>
    </row>
    <row r="52" spans="1:2" x14ac:dyDescent="0.2">
      <c r="A52" s="16">
        <v>405</v>
      </c>
      <c r="B52" s="17" t="s">
        <v>17</v>
      </c>
    </row>
    <row r="53" spans="1:2" x14ac:dyDescent="0.2">
      <c r="A53" s="16">
        <v>406</v>
      </c>
      <c r="B53" s="17" t="s">
        <v>17</v>
      </c>
    </row>
    <row r="54" spans="1:2" x14ac:dyDescent="0.2">
      <c r="A54" s="16">
        <v>407</v>
      </c>
      <c r="B54" s="17" t="s">
        <v>17</v>
      </c>
    </row>
    <row r="55" spans="1:2" x14ac:dyDescent="0.2">
      <c r="A55" s="16">
        <v>408</v>
      </c>
      <c r="B55" s="17" t="s">
        <v>17</v>
      </c>
    </row>
    <row r="56" spans="1:2" x14ac:dyDescent="0.2">
      <c r="A56" s="16">
        <v>409</v>
      </c>
      <c r="B56" s="17" t="s">
        <v>17</v>
      </c>
    </row>
    <row r="57" spans="1:2" x14ac:dyDescent="0.2">
      <c r="A57" s="16">
        <v>420</v>
      </c>
      <c r="B57" s="17" t="s">
        <v>17</v>
      </c>
    </row>
    <row r="58" spans="1:2" x14ac:dyDescent="0.2">
      <c r="A58" s="16">
        <v>421</v>
      </c>
      <c r="B58" s="17" t="s">
        <v>17</v>
      </c>
    </row>
    <row r="59" spans="1:2" x14ac:dyDescent="0.2">
      <c r="A59" s="16">
        <v>422</v>
      </c>
      <c r="B59" s="17" t="s">
        <v>17</v>
      </c>
    </row>
    <row r="60" spans="1:2" x14ac:dyDescent="0.2">
      <c r="A60" s="16">
        <v>423</v>
      </c>
      <c r="B60" s="17" t="s">
        <v>17</v>
      </c>
    </row>
    <row r="61" spans="1:2" x14ac:dyDescent="0.2">
      <c r="A61" s="16">
        <v>424</v>
      </c>
      <c r="B61" s="17" t="s">
        <v>17</v>
      </c>
    </row>
    <row r="62" spans="1:2" x14ac:dyDescent="0.2">
      <c r="A62" s="16">
        <v>425</v>
      </c>
      <c r="B62" s="17" t="s">
        <v>17</v>
      </c>
    </row>
    <row r="63" spans="1:2" x14ac:dyDescent="0.2">
      <c r="A63" s="16">
        <v>426</v>
      </c>
      <c r="B63" s="17" t="s">
        <v>17</v>
      </c>
    </row>
    <row r="64" spans="1:2" x14ac:dyDescent="0.2">
      <c r="A64" s="16">
        <v>427</v>
      </c>
      <c r="B64" s="17" t="s">
        <v>17</v>
      </c>
    </row>
    <row r="65" spans="1:2" x14ac:dyDescent="0.2">
      <c r="A65" s="16">
        <v>428</v>
      </c>
      <c r="B65" s="17" t="s">
        <v>17</v>
      </c>
    </row>
    <row r="66" spans="1:2" x14ac:dyDescent="0.2">
      <c r="A66" s="16">
        <v>429</v>
      </c>
      <c r="B66" s="17" t="s">
        <v>17</v>
      </c>
    </row>
    <row r="67" spans="1:2" x14ac:dyDescent="0.2">
      <c r="A67" s="16">
        <v>500</v>
      </c>
      <c r="B67" s="17" t="s">
        <v>13</v>
      </c>
    </row>
    <row r="68" spans="1:2" x14ac:dyDescent="0.2">
      <c r="A68" s="16">
        <v>501</v>
      </c>
      <c r="B68" s="17" t="s">
        <v>13</v>
      </c>
    </row>
    <row r="69" spans="1:2" x14ac:dyDescent="0.2">
      <c r="A69" s="16">
        <v>502</v>
      </c>
      <c r="B69" s="17" t="s">
        <v>13</v>
      </c>
    </row>
    <row r="70" spans="1:2" x14ac:dyDescent="0.2">
      <c r="A70" s="16">
        <v>503</v>
      </c>
      <c r="B70" s="17" t="s">
        <v>13</v>
      </c>
    </row>
    <row r="71" spans="1:2" x14ac:dyDescent="0.2">
      <c r="A71" s="16">
        <v>504</v>
      </c>
      <c r="B71" s="17" t="s">
        <v>13</v>
      </c>
    </row>
    <row r="72" spans="1:2" x14ac:dyDescent="0.2">
      <c r="A72" s="16">
        <v>505</v>
      </c>
      <c r="B72" s="17" t="s">
        <v>13</v>
      </c>
    </row>
    <row r="73" spans="1:2" x14ac:dyDescent="0.2">
      <c r="A73" s="16">
        <v>506</v>
      </c>
      <c r="B73" s="17" t="s">
        <v>13</v>
      </c>
    </row>
    <row r="74" spans="1:2" x14ac:dyDescent="0.2">
      <c r="A74" s="16">
        <v>507</v>
      </c>
      <c r="B74" s="17" t="s">
        <v>13</v>
      </c>
    </row>
    <row r="75" spans="1:2" x14ac:dyDescent="0.2">
      <c r="A75" s="16">
        <v>508</v>
      </c>
      <c r="B75" s="17" t="s">
        <v>13</v>
      </c>
    </row>
    <row r="76" spans="1:2" x14ac:dyDescent="0.2">
      <c r="A76" s="16">
        <v>520</v>
      </c>
      <c r="B76" s="17" t="s">
        <v>13</v>
      </c>
    </row>
    <row r="77" spans="1:2" x14ac:dyDescent="0.2">
      <c r="A77" s="16">
        <v>521</v>
      </c>
      <c r="B77" s="17" t="s">
        <v>13</v>
      </c>
    </row>
    <row r="78" spans="1:2" x14ac:dyDescent="0.2">
      <c r="A78" s="16">
        <v>522</v>
      </c>
      <c r="B78" s="17" t="s">
        <v>13</v>
      </c>
    </row>
    <row r="79" spans="1:2" x14ac:dyDescent="0.2">
      <c r="A79" s="16">
        <v>523</v>
      </c>
      <c r="B79" s="17" t="s">
        <v>13</v>
      </c>
    </row>
    <row r="80" spans="1:2" x14ac:dyDescent="0.2">
      <c r="A80" s="16">
        <v>524</v>
      </c>
      <c r="B80" s="17" t="s">
        <v>13</v>
      </c>
    </row>
    <row r="81" spans="1:2" x14ac:dyDescent="0.2">
      <c r="A81" s="16">
        <v>525</v>
      </c>
      <c r="B81" s="17" t="s">
        <v>13</v>
      </c>
    </row>
    <row r="82" spans="1:2" x14ac:dyDescent="0.2">
      <c r="A82" s="16">
        <v>526</v>
      </c>
      <c r="B82" s="17" t="s">
        <v>13</v>
      </c>
    </row>
    <row r="83" spans="1:2" x14ac:dyDescent="0.2">
      <c r="A83" s="16">
        <v>527</v>
      </c>
      <c r="B83" s="17" t="s">
        <v>13</v>
      </c>
    </row>
    <row r="84" spans="1:2" x14ac:dyDescent="0.2">
      <c r="A84" s="16">
        <v>528</v>
      </c>
      <c r="B84" s="17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F2246-9CED-3D4C-A6CB-F9583C19916F}">
  <dimension ref="A1:B40"/>
  <sheetViews>
    <sheetView workbookViewId="0">
      <selection activeCell="D8" sqref="D8"/>
    </sheetView>
  </sheetViews>
  <sheetFormatPr baseColWidth="10" defaultRowHeight="16" x14ac:dyDescent="0.2"/>
  <cols>
    <col min="2" max="2" width="20.6640625" customWidth="1"/>
  </cols>
  <sheetData>
    <row r="1" spans="1:2" s="7" customFormat="1" x14ac:dyDescent="0.2">
      <c r="A1" s="7" t="s">
        <v>0</v>
      </c>
      <c r="B1" s="7" t="s">
        <v>26</v>
      </c>
    </row>
    <row r="2" spans="1:2" x14ac:dyDescent="0.2">
      <c r="A2">
        <v>1984</v>
      </c>
      <c r="B2" s="18">
        <v>103.7</v>
      </c>
    </row>
    <row r="3" spans="1:2" x14ac:dyDescent="0.2">
      <c r="A3">
        <v>1985</v>
      </c>
      <c r="B3" s="18">
        <v>107.7</v>
      </c>
    </row>
    <row r="4" spans="1:2" x14ac:dyDescent="0.2">
      <c r="A4">
        <v>1986</v>
      </c>
      <c r="B4" s="18">
        <v>109.9</v>
      </c>
    </row>
    <row r="5" spans="1:2" x14ac:dyDescent="0.2">
      <c r="A5">
        <v>1987</v>
      </c>
      <c r="B5" s="18">
        <v>114.3</v>
      </c>
    </row>
    <row r="6" spans="1:2" x14ac:dyDescent="0.2">
      <c r="A6">
        <v>1988</v>
      </c>
      <c r="B6" s="18">
        <v>120.2</v>
      </c>
    </row>
    <row r="7" spans="1:2" x14ac:dyDescent="0.2">
      <c r="A7">
        <v>1989</v>
      </c>
      <c r="B7" s="18">
        <v>128.19999999999999</v>
      </c>
    </row>
    <row r="8" spans="1:2" x14ac:dyDescent="0.2">
      <c r="A8">
        <v>1990</v>
      </c>
      <c r="B8" s="18">
        <v>138.30000000000001</v>
      </c>
    </row>
    <row r="9" spans="1:2" x14ac:dyDescent="0.2">
      <c r="A9">
        <v>1991</v>
      </c>
      <c r="B9" s="18">
        <v>145.9</v>
      </c>
    </row>
    <row r="10" spans="1:2" x14ac:dyDescent="0.2">
      <c r="A10">
        <v>1992</v>
      </c>
      <c r="B10" s="18">
        <v>148.30000000000001</v>
      </c>
    </row>
    <row r="11" spans="1:2" x14ac:dyDescent="0.2">
      <c r="A11">
        <v>1993</v>
      </c>
      <c r="B11" s="18">
        <v>152.69999999999999</v>
      </c>
    </row>
    <row r="12" spans="1:2" x14ac:dyDescent="0.2">
      <c r="A12">
        <v>1994</v>
      </c>
      <c r="B12" s="18">
        <v>153.19999999999999</v>
      </c>
    </row>
    <row r="13" spans="1:2" x14ac:dyDescent="0.2">
      <c r="A13">
        <v>1995</v>
      </c>
      <c r="B13" s="18">
        <v>157</v>
      </c>
    </row>
    <row r="14" spans="1:2" x14ac:dyDescent="0.2">
      <c r="A14">
        <v>1996</v>
      </c>
      <c r="B14" s="18">
        <v>156.6</v>
      </c>
    </row>
    <row r="15" spans="1:2" x14ac:dyDescent="0.2">
      <c r="A15">
        <v>1997</v>
      </c>
      <c r="B15" s="18">
        <v>159.5</v>
      </c>
    </row>
    <row r="16" spans="1:2" x14ac:dyDescent="0.2">
      <c r="A16">
        <v>1998</v>
      </c>
      <c r="B16" s="18">
        <v>159.1</v>
      </c>
    </row>
    <row r="17" spans="1:2" x14ac:dyDescent="0.2">
      <c r="A17">
        <v>1999</v>
      </c>
      <c r="B17" s="18">
        <v>163</v>
      </c>
    </row>
    <row r="18" spans="1:2" x14ac:dyDescent="0.2">
      <c r="A18">
        <v>2000</v>
      </c>
      <c r="B18" s="18">
        <v>164.8</v>
      </c>
    </row>
    <row r="19" spans="1:2" x14ac:dyDescent="0.2">
      <c r="A19">
        <v>2001</v>
      </c>
      <c r="B19" s="18">
        <v>169.5</v>
      </c>
    </row>
    <row r="20" spans="1:2" x14ac:dyDescent="0.2">
      <c r="A20">
        <v>2002</v>
      </c>
      <c r="B20" s="18">
        <v>171.6</v>
      </c>
    </row>
    <row r="21" spans="1:2" x14ac:dyDescent="0.2">
      <c r="A21">
        <v>2003</v>
      </c>
      <c r="B21" s="18">
        <v>174.1</v>
      </c>
    </row>
    <row r="22" spans="1:2" x14ac:dyDescent="0.2">
      <c r="A22">
        <v>2004</v>
      </c>
      <c r="B22" s="18">
        <v>179.5</v>
      </c>
    </row>
    <row r="23" spans="1:2" x14ac:dyDescent="0.2">
      <c r="A23">
        <v>2005</v>
      </c>
      <c r="B23" s="18">
        <v>185.4</v>
      </c>
    </row>
    <row r="24" spans="1:2" x14ac:dyDescent="0.2">
      <c r="A24">
        <v>2006</v>
      </c>
      <c r="B24" s="18">
        <v>193.9</v>
      </c>
    </row>
    <row r="25" spans="1:2" x14ac:dyDescent="0.2">
      <c r="A25">
        <v>2007</v>
      </c>
      <c r="B25" s="18">
        <v>204.85</v>
      </c>
    </row>
    <row r="26" spans="1:2" x14ac:dyDescent="0.2">
      <c r="A26">
        <v>2008</v>
      </c>
      <c r="B26" s="18">
        <v>216.74199999999999</v>
      </c>
    </row>
    <row r="27" spans="1:2" x14ac:dyDescent="0.2">
      <c r="A27">
        <v>2009</v>
      </c>
      <c r="B27" s="18">
        <v>224.54400000000001</v>
      </c>
    </row>
    <row r="28" spans="1:2" x14ac:dyDescent="0.2">
      <c r="A28">
        <v>2010</v>
      </c>
      <c r="B28" s="18">
        <v>224.79400000000001</v>
      </c>
    </row>
    <row r="29" spans="1:2" x14ac:dyDescent="0.2">
      <c r="A29">
        <v>2011</v>
      </c>
      <c r="B29" s="18">
        <v>233.256</v>
      </c>
    </row>
    <row r="30" spans="1:2" x14ac:dyDescent="0.2">
      <c r="A30">
        <v>2012</v>
      </c>
      <c r="B30" s="18">
        <v>243.315</v>
      </c>
    </row>
    <row r="31" spans="1:2" x14ac:dyDescent="0.2">
      <c r="A31">
        <v>2013</v>
      </c>
      <c r="B31" s="18">
        <v>250.72</v>
      </c>
    </row>
    <row r="32" spans="1:2" x14ac:dyDescent="0.2">
      <c r="A32">
        <v>2014</v>
      </c>
      <c r="B32" s="18">
        <v>256.20400000000001</v>
      </c>
    </row>
    <row r="33" spans="1:2" x14ac:dyDescent="0.2">
      <c r="A33">
        <v>2015</v>
      </c>
      <c r="B33" s="18">
        <v>267.64299999999997</v>
      </c>
    </row>
    <row r="34" spans="1:2" x14ac:dyDescent="0.2">
      <c r="A34">
        <v>2016</v>
      </c>
      <c r="B34" s="18">
        <v>272.99799999999999</v>
      </c>
    </row>
    <row r="35" spans="1:2" x14ac:dyDescent="0.2">
      <c r="A35">
        <v>2017</v>
      </c>
      <c r="B35" s="18">
        <v>278.202</v>
      </c>
    </row>
    <row r="36" spans="1:2" x14ac:dyDescent="0.2">
      <c r="A36">
        <v>2018</v>
      </c>
      <c r="B36" s="18">
        <v>282.565</v>
      </c>
    </row>
    <row r="37" spans="1:2" x14ac:dyDescent="0.2">
      <c r="A37">
        <v>2019</v>
      </c>
      <c r="B37" s="18">
        <v>288.541</v>
      </c>
    </row>
    <row r="38" spans="1:2" x14ac:dyDescent="0.2">
      <c r="A38">
        <v>2020</v>
      </c>
      <c r="B38" s="18">
        <v>302.024</v>
      </c>
    </row>
    <row r="39" spans="1:2" x14ac:dyDescent="0.2">
      <c r="A39">
        <v>2021</v>
      </c>
      <c r="B39" s="18">
        <v>313.00099999999998</v>
      </c>
    </row>
    <row r="40" spans="1:2" x14ac:dyDescent="0.2">
      <c r="A40">
        <v>2022</v>
      </c>
      <c r="B40" s="18">
        <v>340.54899999999998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Comm Landings</vt:lpstr>
      <vt:lpstr>Non-comm Landings</vt:lpstr>
      <vt:lpstr>MWP</vt:lpstr>
      <vt:lpstr>Labor costs per lb</vt:lpstr>
      <vt:lpstr>Non-labor costs per lb</vt:lpstr>
      <vt:lpstr>SBF allocations</vt:lpstr>
      <vt:lpstr>DAR area codes</vt:lpstr>
      <vt:lpstr>CPI Fred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Elanur Ural</dc:creator>
  <cp:lastModifiedBy>Elanur Ural</cp:lastModifiedBy>
  <dcterms:created xsi:type="dcterms:W3CDTF">2026-03-30T06:39:33Z</dcterms:created>
  <dcterms:modified xsi:type="dcterms:W3CDTF">2026-03-30T07:36:43Z</dcterms:modified>
</cp:coreProperties>
</file>
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nurural/Desktop/CEA_Fisheries_EV_Alemarie/data/"/>
    </mc:Choice>
  </mc:AlternateContent>
  <xr:revisionPtr revIDLastSave="0" documentId="13_ncr:1_{EAD67B69-FE39-914A-9BAD-D377340D30B8}" xr6:coauthVersionLast="47" xr6:coauthVersionMax="47" xr10:uidLastSave="{00000000-0000-0000-0000-000000000000}"/>
  <bookViews>
    <workbookView xWindow="0" yWindow="600" windowWidth="28800" windowHeight="15760" xr2:uid="{AA349370-C052-0C4C-AAEF-DDDB3DF4FAF5}"/>
  </bookViews>
  <sheets>
    <sheet name="Lbs by island" sheetId="2" r:id="rId1"/>
    <sheet name="Total lbs" sheetId="1" r:id="rId2"/>
    <sheet name="Island code ke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E109" i="2" l="1"/>
  <c r="E108" i="2"/>
  <c r="E107" i="2"/>
  <c r="E106" i="2"/>
  <c r="E105" i="2"/>
  <c r="E103" i="2"/>
  <c r="E102" i="2"/>
  <c r="E101" i="2"/>
  <c r="E100" i="2"/>
  <c r="E99" i="2"/>
  <c r="E97" i="2"/>
  <c r="E96" i="2"/>
  <c r="E95" i="2"/>
  <c r="E94" i="2"/>
  <c r="E93" i="2"/>
  <c r="E91" i="2"/>
  <c r="E90" i="2"/>
  <c r="E89" i="2"/>
  <c r="E88" i="2"/>
  <c r="E87" i="2"/>
  <c r="E85" i="2"/>
  <c r="E84" i="2"/>
  <c r="E83" i="2"/>
  <c r="E82" i="2"/>
  <c r="E81" i="2"/>
  <c r="E79" i="2"/>
  <c r="E78" i="2"/>
  <c r="E77" i="2"/>
  <c r="E76" i="2"/>
  <c r="E75" i="2"/>
  <c r="E73" i="2"/>
  <c r="E72" i="2"/>
  <c r="E71" i="2"/>
  <c r="E70" i="2"/>
  <c r="E69" i="2"/>
  <c r="E67" i="2"/>
  <c r="E66" i="2"/>
  <c r="E65" i="2"/>
  <c r="E64" i="2"/>
  <c r="E63" i="2"/>
  <c r="E61" i="2"/>
  <c r="E60" i="2"/>
  <c r="E59" i="2"/>
  <c r="E58" i="2"/>
  <c r="E57" i="2"/>
  <c r="E55" i="2"/>
  <c r="E54" i="2"/>
  <c r="E53" i="2"/>
  <c r="E52" i="2"/>
  <c r="E51" i="2"/>
  <c r="E49" i="2"/>
  <c r="E48" i="2"/>
  <c r="E47" i="2"/>
  <c r="E46" i="2"/>
  <c r="E45" i="2"/>
  <c r="E43" i="2"/>
  <c r="E42" i="2"/>
  <c r="E41" i="2"/>
  <c r="E40" i="2"/>
  <c r="E39" i="2"/>
  <c r="E37" i="2"/>
  <c r="E36" i="2"/>
  <c r="E35" i="2"/>
  <c r="E34" i="2"/>
  <c r="E33" i="2"/>
  <c r="E31" i="2"/>
  <c r="E30" i="2"/>
  <c r="E29" i="2"/>
  <c r="E28" i="2"/>
  <c r="E27" i="2"/>
  <c r="E25" i="2"/>
  <c r="E24" i="2"/>
  <c r="E23" i="2"/>
  <c r="E22" i="2"/>
  <c r="E21" i="2"/>
  <c r="E19" i="2"/>
  <c r="E18" i="2"/>
  <c r="E17" i="2"/>
  <c r="E16" i="2"/>
  <c r="E15" i="2"/>
  <c r="E13" i="2"/>
  <c r="E12" i="2"/>
  <c r="E11" i="2"/>
  <c r="E10" i="2"/>
  <c r="E9" i="2"/>
  <c r="E104" i="2"/>
  <c r="E98" i="2"/>
  <c r="E92" i="2"/>
  <c r="E86" i="2"/>
  <c r="E74" i="2"/>
  <c r="E80" i="2"/>
  <c r="E68" i="2"/>
  <c r="E62" i="2"/>
  <c r="E56" i="2"/>
  <c r="E50" i="2"/>
  <c r="E44" i="2"/>
  <c r="E38" i="2"/>
  <c r="E32" i="2"/>
  <c r="E26" i="2"/>
  <c r="E20" i="2"/>
  <c r="E14" i="2"/>
  <c r="E8" i="2"/>
  <c r="E7" i="2"/>
  <c r="E6" i="2"/>
  <c r="E5" i="2"/>
  <c r="E4" i="2"/>
  <c r="E3" i="2"/>
  <c r="E2" i="2"/>
  <c r="C7" i="3"/>
  <c r="C6" i="3"/>
  <c r="C5" i="3"/>
  <c r="C4" i="3"/>
  <c r="C3" i="3"/>
  <c r="C2" i="3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tc={3DF04C53-0D6E-9B47-835F-4B2245E8A883}</author>
  </authors>
  <commentList>
    <comment ref="C1" authorId="0" shapeId="0" xr:uid="{3DF04C53-0D6E-9B47-835F-4B2245E8A88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McCoy et al. 2018</t>
      </text>
    </comment>
  </commentList>
</comments>
</file>

<file path=xl/sharedStrings.xml><?xml version="1.0" encoding="utf-8"?>
<sst xmlns="http://schemas.openxmlformats.org/spreadsheetml/2006/main" count="126" uniqueCount="21">
  <si>
    <t>year</t>
  </si>
  <si>
    <t>lbs</t>
  </si>
  <si>
    <t>lbs.se</t>
  </si>
  <si>
    <t>Hawaii</t>
  </si>
  <si>
    <t>Kauai</t>
  </si>
  <si>
    <t>Lanai</t>
  </si>
  <si>
    <t>Maui</t>
  </si>
  <si>
    <t>Molokai</t>
  </si>
  <si>
    <t>Oahu</t>
  </si>
  <si>
    <t>island</t>
  </si>
  <si>
    <t>lbs.total</t>
  </si>
  <si>
    <t>hawaii</t>
  </si>
  <si>
    <t>kauai</t>
  </si>
  <si>
    <t>lanai</t>
  </si>
  <si>
    <t>maui</t>
  </si>
  <si>
    <t>molokai</t>
  </si>
  <si>
    <t>oahu</t>
  </si>
  <si>
    <t>island.code</t>
  </si>
  <si>
    <t>island.weight</t>
  </si>
  <si>
    <t xml:space="preserve">island.weight </t>
  </si>
  <si>
    <t>approx.ev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</si>
</sst>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43" fontId="3" fillId="0" borderId="0" xfId="1" applyFont="1"/>
    <xf numFmtId="43" fontId="0" fillId="0" borderId="0" xfId="1" applyFont="1"/>
    <xf numFmtId="0" fontId="4" fillId="0" borderId="0" xfId="0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anur Ural" id="{B7F068DB-1BF3-9245-9646-34B2C0FEA4F0}" userId="S::eural@hawaii.edu::604a7542-fee9-45f0-859d-55c691cdc9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5-25T02:08:49.71" personId="{B7F068DB-1BF3-9245-9646-34B2C0FEA4F0}" id="{3DF04C53-0D6E-9B47-835F-4B2245E8A883}">
    <text>Source: McCoy et al. 2018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D69B-F897-064A-9531-18E210655914}">
  <dimension ref="A1:E109"/>
  <sheetViews>
    <sheetView tabSelected="1" zoomScale="110" zoomScaleNormal="110" workbookViewId="0">
      <pane ySplit="1" topLeftCell="A2" activePane="bottomLeft" state="frozen"/>
      <selection pane="bottomLeft" activeCell="F5" sqref="F5"/>
    </sheetView>
  </sheetViews>
  <sheetFormatPr baseColWidth="10" defaultRowHeight="16" x14ac:dyDescent="0.2"/>
  <cols>
    <col min="4" max="4" width="12.1640625" bestFit="1" customWidth="1"/>
    <col min="5" max="5" width="13.1640625" bestFit="1" customWidth="1"/>
  </cols>
  <sheetData>
    <row r="1" spans="1:5" s="2" customFormat="1" x14ac:dyDescent="0.2">
      <c r="A1" s="2" t="s">
        <v>0</v>
      </c>
      <c r="B1" s="2" t="s">
        <v>9</v>
      </c>
      <c r="C1" s="2" t="s">
        <v>17</v>
      </c>
      <c r="D1" s="2" t="s">
        <v>18</v>
      </c>
      <c r="E1" s="2" t="s">
        <v>10</v>
      </c>
    </row>
    <row r="2" spans="1:5" x14ac:dyDescent="0.2">
      <c r="A2">
        <v>2005</v>
      </c>
      <c r="B2" t="s">
        <v>11</v>
      </c>
      <c r="C2">
        <f>IF(B2="hawaii",1)</f>
        <v>1</v>
      </c>
      <c r="D2">
        <v>0.3267351614898743</v>
      </c>
      <c r="E2" s="6">
        <f>'Total lbs'!B2*D2</f>
        <v>55427.708088403015</v>
      </c>
    </row>
    <row r="3" spans="1:5" x14ac:dyDescent="0.2">
      <c r="A3">
        <v>2005</v>
      </c>
      <c r="B3" t="s">
        <v>12</v>
      </c>
      <c r="C3">
        <v>2</v>
      </c>
      <c r="D3">
        <v>7.9741730155629353E-2</v>
      </c>
      <c r="E3" s="6">
        <f>'Total lbs'!B2*D3</f>
        <v>13527.473815111272</v>
      </c>
    </row>
    <row r="4" spans="1:5" x14ac:dyDescent="0.2">
      <c r="A4">
        <v>2005</v>
      </c>
      <c r="B4" t="s">
        <v>13</v>
      </c>
      <c r="C4">
        <v>3</v>
      </c>
      <c r="D4">
        <v>9.2211613596405555E-3</v>
      </c>
      <c r="E4" s="6">
        <f>'Total lbs'!B2*D4</f>
        <v>1564.2878401810992</v>
      </c>
    </row>
    <row r="5" spans="1:5" x14ac:dyDescent="0.2">
      <c r="A5">
        <v>2005</v>
      </c>
      <c r="B5" t="s">
        <v>14</v>
      </c>
      <c r="C5">
        <v>4</v>
      </c>
      <c r="D5">
        <v>0.14533885198932084</v>
      </c>
      <c r="E5" s="6">
        <f>'Total lbs'!B2*D5</f>
        <v>24655.440893579311</v>
      </c>
    </row>
    <row r="6" spans="1:5" x14ac:dyDescent="0.2">
      <c r="A6">
        <v>2005</v>
      </c>
      <c r="B6" t="s">
        <v>15</v>
      </c>
      <c r="C6">
        <v>5</v>
      </c>
      <c r="D6">
        <v>7.9009165201536752E-2</v>
      </c>
      <c r="E6" s="6">
        <f>'Total lbs'!B2*D6</f>
        <v>13403.20069970463</v>
      </c>
    </row>
    <row r="7" spans="1:5" x14ac:dyDescent="0.2">
      <c r="A7">
        <v>2005</v>
      </c>
      <c r="B7" t="s">
        <v>16</v>
      </c>
      <c r="C7">
        <v>6</v>
      </c>
      <c r="D7">
        <v>0.35995392980399815</v>
      </c>
      <c r="E7" s="6">
        <f>'Total lbs'!B2*D7</f>
        <v>61062.976067446674</v>
      </c>
    </row>
    <row r="8" spans="1:5" x14ac:dyDescent="0.2">
      <c r="A8">
        <v>2006</v>
      </c>
      <c r="B8" t="s">
        <v>11</v>
      </c>
      <c r="C8" s="5">
        <v>1</v>
      </c>
      <c r="D8">
        <v>0.3267351614898743</v>
      </c>
      <c r="E8" s="6">
        <f>'Total lbs'!B3*D8</f>
        <v>92568.797551791286</v>
      </c>
    </row>
    <row r="9" spans="1:5" x14ac:dyDescent="0.2">
      <c r="A9">
        <v>2006</v>
      </c>
      <c r="B9" t="s">
        <v>12</v>
      </c>
      <c r="C9" s="5">
        <v>2</v>
      </c>
      <c r="D9">
        <v>7.9741730155629353E-2</v>
      </c>
      <c r="E9" s="6">
        <f>'Total lbs'!B3*D9</f>
        <v>22591.985636154997</v>
      </c>
    </row>
    <row r="10" spans="1:5" x14ac:dyDescent="0.2">
      <c r="A10">
        <v>2006</v>
      </c>
      <c r="B10" t="s">
        <v>13</v>
      </c>
      <c r="C10" s="5">
        <v>3</v>
      </c>
      <c r="D10">
        <v>9.2211613596405555E-3</v>
      </c>
      <c r="E10" s="6">
        <f>'Total lbs'!B3*D10</f>
        <v>2612.488399475244</v>
      </c>
    </row>
    <row r="11" spans="1:5" x14ac:dyDescent="0.2">
      <c r="A11">
        <v>2006</v>
      </c>
      <c r="B11" t="s">
        <v>14</v>
      </c>
      <c r="C11" s="5">
        <v>4</v>
      </c>
      <c r="D11">
        <v>0.14533885198932084</v>
      </c>
      <c r="E11" s="6">
        <f>'Total lbs'!B3*D11</f>
        <v>41176.599129586306</v>
      </c>
    </row>
    <row r="12" spans="1:5" x14ac:dyDescent="0.2">
      <c r="A12">
        <v>2006</v>
      </c>
      <c r="B12" t="s">
        <v>15</v>
      </c>
      <c r="C12" s="5">
        <v>5</v>
      </c>
      <c r="D12">
        <v>7.9009165201536752E-2</v>
      </c>
      <c r="E12" s="6">
        <f>'Total lbs'!B3*D12</f>
        <v>22384.439387934519</v>
      </c>
    </row>
    <row r="13" spans="1:5" x14ac:dyDescent="0.2">
      <c r="A13">
        <v>2006</v>
      </c>
      <c r="B13" t="s">
        <v>16</v>
      </c>
      <c r="C13" s="5">
        <v>6</v>
      </c>
      <c r="D13">
        <v>0.35995392980399815</v>
      </c>
      <c r="E13" s="6">
        <f>'Total lbs'!B3*D13</f>
        <v>101980.15513255562</v>
      </c>
    </row>
    <row r="14" spans="1:5" x14ac:dyDescent="0.2">
      <c r="A14">
        <v>2007</v>
      </c>
      <c r="B14" t="s">
        <v>11</v>
      </c>
      <c r="C14" s="5">
        <v>1</v>
      </c>
      <c r="D14">
        <v>0.3267351614898743</v>
      </c>
      <c r="E14" s="6">
        <f>'Total lbs'!B4*D14</f>
        <v>78890.550106219656</v>
      </c>
    </row>
    <row r="15" spans="1:5" x14ac:dyDescent="0.2">
      <c r="A15">
        <v>2007</v>
      </c>
      <c r="B15" t="s">
        <v>12</v>
      </c>
      <c r="C15" s="5">
        <v>2</v>
      </c>
      <c r="D15">
        <v>7.9741730155629353E-2</v>
      </c>
      <c r="E15" s="6">
        <f>'Total lbs'!B4*D15</f>
        <v>19253.725034409195</v>
      </c>
    </row>
    <row r="16" spans="1:5" x14ac:dyDescent="0.2">
      <c r="A16">
        <v>2007</v>
      </c>
      <c r="B16" t="s">
        <v>13</v>
      </c>
      <c r="C16" s="5">
        <v>3</v>
      </c>
      <c r="D16">
        <v>9.2211613596405555E-3</v>
      </c>
      <c r="E16" s="6">
        <f>'Total lbs'!B4*D16</f>
        <v>2226.4591572058407</v>
      </c>
    </row>
    <row r="17" spans="1:5" x14ac:dyDescent="0.2">
      <c r="A17">
        <v>2007</v>
      </c>
      <c r="B17" t="s">
        <v>14</v>
      </c>
      <c r="C17" s="5">
        <v>4</v>
      </c>
      <c r="D17">
        <v>0.14533885198932084</v>
      </c>
      <c r="E17" s="6">
        <f>'Total lbs'!B4*D17</f>
        <v>35092.219438400694</v>
      </c>
    </row>
    <row r="18" spans="1:5" x14ac:dyDescent="0.2">
      <c r="A18">
        <v>2007</v>
      </c>
      <c r="B18" t="s">
        <v>15</v>
      </c>
      <c r="C18" s="5">
        <v>5</v>
      </c>
      <c r="D18">
        <v>7.9009165201536752E-2</v>
      </c>
      <c r="E18" s="6">
        <f>'Total lbs'!B4*D18</f>
        <v>19076.84645191022</v>
      </c>
    </row>
    <row r="19" spans="1:5" x14ac:dyDescent="0.2">
      <c r="A19">
        <v>2007</v>
      </c>
      <c r="B19" t="s">
        <v>16</v>
      </c>
      <c r="C19" s="5">
        <v>6</v>
      </c>
      <c r="D19">
        <v>0.35995392980399815</v>
      </c>
      <c r="E19" s="6">
        <f>'Total lbs'!B4*D19</f>
        <v>86911.256828454396</v>
      </c>
    </row>
    <row r="20" spans="1:5" x14ac:dyDescent="0.2">
      <c r="A20">
        <v>2008</v>
      </c>
      <c r="B20" t="s">
        <v>11</v>
      </c>
      <c r="C20" s="5">
        <v>1</v>
      </c>
      <c r="D20">
        <v>0.3267351614898743</v>
      </c>
      <c r="E20" s="6">
        <f>'Total lbs'!B5*D20</f>
        <v>73599.019790406324</v>
      </c>
    </row>
    <row r="21" spans="1:5" x14ac:dyDescent="0.2">
      <c r="A21">
        <v>2008</v>
      </c>
      <c r="B21" t="s">
        <v>12</v>
      </c>
      <c r="C21" s="5">
        <v>2</v>
      </c>
      <c r="D21">
        <v>7.9741730155629353E-2</v>
      </c>
      <c r="E21" s="6">
        <f>'Total lbs'!B5*D21</f>
        <v>17962.294443866536</v>
      </c>
    </row>
    <row r="22" spans="1:5" x14ac:dyDescent="0.2">
      <c r="A22">
        <v>2008</v>
      </c>
      <c r="B22" t="s">
        <v>13</v>
      </c>
      <c r="C22" s="5">
        <v>3</v>
      </c>
      <c r="D22">
        <v>9.2211613596405555E-3</v>
      </c>
      <c r="E22" s="6">
        <f>'Total lbs'!B5*D22</f>
        <v>2077.1209143946007</v>
      </c>
    </row>
    <row r="23" spans="1:5" x14ac:dyDescent="0.2">
      <c r="A23">
        <v>2008</v>
      </c>
      <c r="B23" t="s">
        <v>14</v>
      </c>
      <c r="C23" s="5">
        <v>4</v>
      </c>
      <c r="D23">
        <v>0.14533885198932084</v>
      </c>
      <c r="E23" s="6">
        <f>'Total lbs'!B5*D23</f>
        <v>32738.432543044371</v>
      </c>
    </row>
    <row r="24" spans="1:5" x14ac:dyDescent="0.2">
      <c r="A24">
        <v>2008</v>
      </c>
      <c r="B24" t="s">
        <v>15</v>
      </c>
      <c r="C24" s="5">
        <v>5</v>
      </c>
      <c r="D24">
        <v>7.9009165201536752E-2</v>
      </c>
      <c r="E24" s="6">
        <f>'Total lbs'!B5*D24</f>
        <v>17797.279872713043</v>
      </c>
    </row>
    <row r="25" spans="1:5" x14ac:dyDescent="0.2">
      <c r="A25">
        <v>2008</v>
      </c>
      <c r="B25" t="s">
        <v>16</v>
      </c>
      <c r="C25" s="5">
        <v>6</v>
      </c>
      <c r="D25">
        <v>0.35995392980399815</v>
      </c>
      <c r="E25" s="6">
        <f>'Total lbs'!B5*D25</f>
        <v>81081.743031504113</v>
      </c>
    </row>
    <row r="26" spans="1:5" x14ac:dyDescent="0.2">
      <c r="A26">
        <v>2009</v>
      </c>
      <c r="B26" t="s">
        <v>11</v>
      </c>
      <c r="C26" s="5">
        <v>1</v>
      </c>
      <c r="D26">
        <v>0.3267351614898743</v>
      </c>
      <c r="E26" s="6">
        <f>'Total lbs'!B6*D26</f>
        <v>55032.050694492944</v>
      </c>
    </row>
    <row r="27" spans="1:5" x14ac:dyDescent="0.2">
      <c r="A27">
        <v>2009</v>
      </c>
      <c r="B27" t="s">
        <v>12</v>
      </c>
      <c r="C27" s="5">
        <v>2</v>
      </c>
      <c r="D27">
        <v>7.9741730155629353E-2</v>
      </c>
      <c r="E27" s="6">
        <f>'Total lbs'!B6*D27</f>
        <v>13430.911189297172</v>
      </c>
    </row>
    <row r="28" spans="1:5" x14ac:dyDescent="0.2">
      <c r="A28">
        <v>2009</v>
      </c>
      <c r="B28" t="s">
        <v>13</v>
      </c>
      <c r="C28" s="5">
        <v>3</v>
      </c>
      <c r="D28">
        <v>9.2211613596405555E-3</v>
      </c>
      <c r="E28" s="6">
        <f>'Total lbs'!B6*D28</f>
        <v>1553.1215467961349</v>
      </c>
    </row>
    <row r="29" spans="1:5" x14ac:dyDescent="0.2">
      <c r="A29">
        <v>2009</v>
      </c>
      <c r="B29" t="s">
        <v>14</v>
      </c>
      <c r="C29" s="5">
        <v>4</v>
      </c>
      <c r="D29">
        <v>0.14533885198932084</v>
      </c>
      <c r="E29" s="6">
        <f>'Total lbs'!B6*D29</f>
        <v>24479.443945011662</v>
      </c>
    </row>
    <row r="30" spans="1:5" x14ac:dyDescent="0.2">
      <c r="A30">
        <v>2009</v>
      </c>
      <c r="B30" t="s">
        <v>15</v>
      </c>
      <c r="C30" s="5">
        <v>5</v>
      </c>
      <c r="D30">
        <v>7.9009165201536752E-2</v>
      </c>
      <c r="E30" s="6">
        <f>'Total lbs'!B6*D30</f>
        <v>13307.525167704627</v>
      </c>
    </row>
    <row r="31" spans="1:5" x14ac:dyDescent="0.2">
      <c r="A31">
        <v>2009</v>
      </c>
      <c r="B31" t="s">
        <v>16</v>
      </c>
      <c r="C31" s="5">
        <v>6</v>
      </c>
      <c r="D31">
        <v>0.35995392980399815</v>
      </c>
      <c r="E31" s="6">
        <f>'Total lbs'!B6*D31</f>
        <v>60627.092665291464</v>
      </c>
    </row>
    <row r="32" spans="1:5" x14ac:dyDescent="0.2">
      <c r="A32">
        <v>2010</v>
      </c>
      <c r="B32" s="5" t="s">
        <v>11</v>
      </c>
      <c r="C32" s="5">
        <v>1</v>
      </c>
      <c r="D32">
        <v>0.3267351614898743</v>
      </c>
      <c r="E32" s="6">
        <f>'Total lbs'!B7*D32</f>
        <v>85112.194935521635</v>
      </c>
    </row>
    <row r="33" spans="1:5" x14ac:dyDescent="0.2">
      <c r="A33">
        <v>2010</v>
      </c>
      <c r="B33" s="5" t="s">
        <v>12</v>
      </c>
      <c r="C33" s="5">
        <v>2</v>
      </c>
      <c r="D33">
        <v>7.9741730155629353E-2</v>
      </c>
      <c r="E33" s="6">
        <f>'Total lbs'!B7*D33</f>
        <v>20772.155805190323</v>
      </c>
    </row>
    <row r="34" spans="1:5" x14ac:dyDescent="0.2">
      <c r="A34">
        <v>2010</v>
      </c>
      <c r="B34" s="5" t="s">
        <v>13</v>
      </c>
      <c r="C34" s="5">
        <v>3</v>
      </c>
      <c r="D34">
        <v>9.2211613596405555E-3</v>
      </c>
      <c r="E34" s="6">
        <f>'Total lbs'!B7*D34</f>
        <v>2402.0472103304655</v>
      </c>
    </row>
    <row r="35" spans="1:5" x14ac:dyDescent="0.2">
      <c r="A35">
        <v>2010</v>
      </c>
      <c r="B35" s="5" t="s">
        <v>14</v>
      </c>
      <c r="C35" s="5">
        <v>4</v>
      </c>
      <c r="D35">
        <v>0.14533885198932084</v>
      </c>
      <c r="E35" s="6">
        <f>'Total lbs'!B7*D35</f>
        <v>37859.741344683403</v>
      </c>
    </row>
    <row r="36" spans="1:5" x14ac:dyDescent="0.2">
      <c r="A36">
        <v>2010</v>
      </c>
      <c r="B36" s="5" t="s">
        <v>15</v>
      </c>
      <c r="C36" s="5">
        <v>5</v>
      </c>
      <c r="D36">
        <v>7.9009165201536752E-2</v>
      </c>
      <c r="E36" s="6">
        <f>'Total lbs'!B7*D36</f>
        <v>20581.327824230601</v>
      </c>
    </row>
    <row r="37" spans="1:5" x14ac:dyDescent="0.2">
      <c r="A37">
        <v>2010</v>
      </c>
      <c r="B37" s="5" t="s">
        <v>16</v>
      </c>
      <c r="C37" s="5">
        <v>6</v>
      </c>
      <c r="D37">
        <v>0.35995392980399815</v>
      </c>
      <c r="E37" s="6">
        <f>'Total lbs'!B7*D37</f>
        <v>93765.448755457575</v>
      </c>
    </row>
    <row r="38" spans="1:5" x14ac:dyDescent="0.2">
      <c r="A38">
        <v>2011</v>
      </c>
      <c r="B38" s="5" t="s">
        <v>11</v>
      </c>
      <c r="C38" s="5">
        <v>1</v>
      </c>
      <c r="D38">
        <v>0.3267351614898743</v>
      </c>
      <c r="E38" s="6">
        <f>'Total lbs'!B8*D38</f>
        <v>45437.491447065615</v>
      </c>
    </row>
    <row r="39" spans="1:5" x14ac:dyDescent="0.2">
      <c r="A39">
        <v>2011</v>
      </c>
      <c r="B39" s="5" t="s">
        <v>12</v>
      </c>
      <c r="C39" s="5">
        <v>2</v>
      </c>
      <c r="D39">
        <v>7.9741730155629353E-2</v>
      </c>
      <c r="E39" s="6">
        <f>'Total lbs'!B8*D39</f>
        <v>11089.29986414367</v>
      </c>
    </row>
    <row r="40" spans="1:5" x14ac:dyDescent="0.2">
      <c r="A40">
        <v>2011</v>
      </c>
      <c r="B40" s="5" t="s">
        <v>13</v>
      </c>
      <c r="C40" s="5">
        <v>3</v>
      </c>
      <c r="D40">
        <v>9.2211613596405555E-3</v>
      </c>
      <c r="E40" s="6">
        <f>'Total lbs'!B8*D40</f>
        <v>1282.3426731917996</v>
      </c>
    </row>
    <row r="41" spans="1:5" x14ac:dyDescent="0.2">
      <c r="A41">
        <v>2011</v>
      </c>
      <c r="B41" s="5" t="s">
        <v>14</v>
      </c>
      <c r="C41" s="5">
        <v>4</v>
      </c>
      <c r="D41">
        <v>0.14533885198932084</v>
      </c>
      <c r="E41" s="6">
        <f>'Total lbs'!B8*D41</f>
        <v>20211.576905523092</v>
      </c>
    </row>
    <row r="42" spans="1:5" x14ac:dyDescent="0.2">
      <c r="A42">
        <v>2011</v>
      </c>
      <c r="B42" s="5" t="s">
        <v>15</v>
      </c>
      <c r="C42" s="5">
        <v>5</v>
      </c>
      <c r="D42">
        <v>7.9009165201536752E-2</v>
      </c>
      <c r="E42" s="6">
        <f>'Total lbs'!B8*D42</f>
        <v>10987.425570344916</v>
      </c>
    </row>
    <row r="43" spans="1:5" x14ac:dyDescent="0.2">
      <c r="A43">
        <v>2011</v>
      </c>
      <c r="B43" s="5" t="s">
        <v>16</v>
      </c>
      <c r="C43" s="5">
        <v>6</v>
      </c>
      <c r="D43">
        <v>0.35995392980399815</v>
      </c>
      <c r="E43" s="6">
        <f>'Total lbs'!B8*D43</f>
        <v>50057.06619461489</v>
      </c>
    </row>
    <row r="44" spans="1:5" x14ac:dyDescent="0.2">
      <c r="A44">
        <v>2012</v>
      </c>
      <c r="B44" s="5" t="s">
        <v>11</v>
      </c>
      <c r="C44" s="5">
        <v>1</v>
      </c>
      <c r="D44">
        <v>0.3267351614898743</v>
      </c>
      <c r="E44" s="6">
        <f>'Total lbs'!B9*D44</f>
        <v>70178.301205190393</v>
      </c>
    </row>
    <row r="45" spans="1:5" x14ac:dyDescent="0.2">
      <c r="A45">
        <v>2012</v>
      </c>
      <c r="B45" s="5" t="s">
        <v>12</v>
      </c>
      <c r="C45" s="5">
        <v>2</v>
      </c>
      <c r="D45">
        <v>7.9741730155629353E-2</v>
      </c>
      <c r="E45" s="6">
        <f>'Total lbs'!B9*D45</f>
        <v>17127.446987851043</v>
      </c>
    </row>
    <row r="46" spans="1:5" x14ac:dyDescent="0.2">
      <c r="A46">
        <v>2012</v>
      </c>
      <c r="B46" s="5" t="s">
        <v>13</v>
      </c>
      <c r="C46" s="5">
        <v>3</v>
      </c>
      <c r="D46">
        <v>9.2211613596405555E-3</v>
      </c>
      <c r="E46" s="6">
        <f>'Total lbs'!B9*D46</f>
        <v>1980.5809586201292</v>
      </c>
    </row>
    <row r="47" spans="1:5" x14ac:dyDescent="0.2">
      <c r="A47">
        <v>2012</v>
      </c>
      <c r="B47" s="5" t="s">
        <v>14</v>
      </c>
      <c r="C47" s="5">
        <v>4</v>
      </c>
      <c r="D47">
        <v>0.14533885198932084</v>
      </c>
      <c r="E47" s="6">
        <f>'Total lbs'!B9*D47</f>
        <v>31216.823084525098</v>
      </c>
    </row>
    <row r="48" spans="1:5" x14ac:dyDescent="0.2">
      <c r="A48">
        <v>2012</v>
      </c>
      <c r="B48" s="5" t="s">
        <v>15</v>
      </c>
      <c r="C48" s="5">
        <v>5</v>
      </c>
      <c r="D48">
        <v>7.9009165201536752E-2</v>
      </c>
      <c r="E48" s="6">
        <f>'Total lbs'!B9*D48</f>
        <v>16970.101926590254</v>
      </c>
    </row>
    <row r="49" spans="1:5" x14ac:dyDescent="0.2">
      <c r="A49">
        <v>2012</v>
      </c>
      <c r="B49" s="5" t="s">
        <v>16</v>
      </c>
      <c r="C49" s="5">
        <v>6</v>
      </c>
      <c r="D49">
        <v>0.35995392980399815</v>
      </c>
      <c r="E49" s="6">
        <f>'Total lbs'!B9*D49</f>
        <v>77313.244128945065</v>
      </c>
    </row>
    <row r="50" spans="1:5" x14ac:dyDescent="0.2">
      <c r="A50">
        <v>2013</v>
      </c>
      <c r="B50" s="5" t="s">
        <v>11</v>
      </c>
      <c r="C50" s="5">
        <v>1</v>
      </c>
      <c r="D50">
        <v>0.3267351614898743</v>
      </c>
      <c r="E50" s="6">
        <f>'Total lbs'!B10*D50</f>
        <v>76498.186613212791</v>
      </c>
    </row>
    <row r="51" spans="1:5" x14ac:dyDescent="0.2">
      <c r="A51">
        <v>2013</v>
      </c>
      <c r="B51" s="5" t="s">
        <v>12</v>
      </c>
      <c r="C51" s="5">
        <v>2</v>
      </c>
      <c r="D51">
        <v>7.9741730155629353E-2</v>
      </c>
      <c r="E51" s="6">
        <f>'Total lbs'!B10*D51</f>
        <v>18669.853977423354</v>
      </c>
    </row>
    <row r="52" spans="1:5" x14ac:dyDescent="0.2">
      <c r="A52">
        <v>2013</v>
      </c>
      <c r="B52" s="5" t="s">
        <v>13</v>
      </c>
      <c r="C52" s="5">
        <v>3</v>
      </c>
      <c r="D52">
        <v>9.2211613596405555E-3</v>
      </c>
      <c r="E52" s="6">
        <f>'Total lbs'!B10*D52</f>
        <v>2158.941569875059</v>
      </c>
    </row>
    <row r="53" spans="1:5" x14ac:dyDescent="0.2">
      <c r="A53">
        <v>2013</v>
      </c>
      <c r="B53" s="5" t="s">
        <v>14</v>
      </c>
      <c r="C53" s="5">
        <v>4</v>
      </c>
      <c r="D53">
        <v>0.14533885198932084</v>
      </c>
      <c r="E53" s="6">
        <f>'Total lbs'!B10*D53</f>
        <v>34028.044520619296</v>
      </c>
    </row>
    <row r="54" spans="1:5" x14ac:dyDescent="0.2">
      <c r="A54">
        <v>2013</v>
      </c>
      <c r="B54" s="5" t="s">
        <v>15</v>
      </c>
      <c r="C54" s="5">
        <v>5</v>
      </c>
      <c r="D54">
        <v>7.9009165201536752E-2</v>
      </c>
      <c r="E54" s="6">
        <f>'Total lbs'!B10*D54</f>
        <v>18498.339254891074</v>
      </c>
    </row>
    <row r="55" spans="1:5" x14ac:dyDescent="0.2">
      <c r="A55">
        <v>2013</v>
      </c>
      <c r="B55" s="5" t="s">
        <v>16</v>
      </c>
      <c r="C55" s="5">
        <v>6</v>
      </c>
      <c r="D55">
        <v>0.35995392980399815</v>
      </c>
      <c r="E55" s="6">
        <f>'Total lbs'!B10*D55</f>
        <v>84275.664635374415</v>
      </c>
    </row>
    <row r="56" spans="1:5" x14ac:dyDescent="0.2">
      <c r="A56">
        <v>2014</v>
      </c>
      <c r="B56" s="5" t="s">
        <v>11</v>
      </c>
      <c r="C56" s="5">
        <v>1</v>
      </c>
      <c r="D56">
        <v>0.3267351614898743</v>
      </c>
      <c r="E56" s="6">
        <f>'Total lbs'!B11*D56</f>
        <v>75144.972298231631</v>
      </c>
    </row>
    <row r="57" spans="1:5" x14ac:dyDescent="0.2">
      <c r="A57">
        <v>2014</v>
      </c>
      <c r="B57" s="5" t="s">
        <v>12</v>
      </c>
      <c r="C57" s="5">
        <v>2</v>
      </c>
      <c r="D57">
        <v>7.9741730155629353E-2</v>
      </c>
      <c r="E57" s="6">
        <f>'Total lbs'!B11*D57</f>
        <v>18339.59368264542</v>
      </c>
    </row>
    <row r="58" spans="1:5" x14ac:dyDescent="0.2">
      <c r="A58">
        <v>2014</v>
      </c>
      <c r="B58" s="5" t="s">
        <v>13</v>
      </c>
      <c r="C58" s="5">
        <v>3</v>
      </c>
      <c r="D58">
        <v>9.2211613596405555E-3</v>
      </c>
      <c r="E58" s="6">
        <f>'Total lbs'!B11*D58</f>
        <v>2120.7509830532504</v>
      </c>
    </row>
    <row r="59" spans="1:5" x14ac:dyDescent="0.2">
      <c r="A59">
        <v>2014</v>
      </c>
      <c r="B59" s="5" t="s">
        <v>14</v>
      </c>
      <c r="C59" s="5">
        <v>4</v>
      </c>
      <c r="D59">
        <v>0.14533885198932084</v>
      </c>
      <c r="E59" s="6">
        <f>'Total lbs'!B11*D59</f>
        <v>33426.105585923491</v>
      </c>
    </row>
    <row r="60" spans="1:5" x14ac:dyDescent="0.2">
      <c r="A60">
        <v>2014</v>
      </c>
      <c r="B60" s="5" t="s">
        <v>15</v>
      </c>
      <c r="C60" s="5">
        <v>5</v>
      </c>
      <c r="D60">
        <v>7.9009165201536752E-2</v>
      </c>
      <c r="E60" s="6">
        <f>'Total lbs'!B11*D60</f>
        <v>18171.112968996698</v>
      </c>
    </row>
    <row r="61" spans="1:5" x14ac:dyDescent="0.2">
      <c r="A61">
        <v>2014</v>
      </c>
      <c r="B61" s="5" t="s">
        <v>16</v>
      </c>
      <c r="C61" s="5">
        <v>6</v>
      </c>
      <c r="D61">
        <v>0.35995392980399815</v>
      </c>
      <c r="E61" s="6">
        <f>'Total lbs'!B11*D61</f>
        <v>82784.870659227498</v>
      </c>
    </row>
    <row r="62" spans="1:5" x14ac:dyDescent="0.2">
      <c r="A62">
        <v>2015</v>
      </c>
      <c r="B62" s="5" t="s">
        <v>11</v>
      </c>
      <c r="C62" s="5">
        <v>1</v>
      </c>
      <c r="D62">
        <v>0.3267351614898743</v>
      </c>
      <c r="E62" s="6">
        <f>'Total lbs'!B12*D62</f>
        <v>57844.010315572894</v>
      </c>
    </row>
    <row r="63" spans="1:5" x14ac:dyDescent="0.2">
      <c r="A63">
        <v>2015</v>
      </c>
      <c r="B63" s="5" t="s">
        <v>12</v>
      </c>
      <c r="C63" s="5">
        <v>2</v>
      </c>
      <c r="D63">
        <v>7.9741730155629353E-2</v>
      </c>
      <c r="E63" s="6">
        <f>'Total lbs'!B12*D63</f>
        <v>14117.187267727844</v>
      </c>
    </row>
    <row r="64" spans="1:5" x14ac:dyDescent="0.2">
      <c r="A64">
        <v>2015</v>
      </c>
      <c r="B64" s="5" t="s">
        <v>13</v>
      </c>
      <c r="C64" s="5">
        <v>3</v>
      </c>
      <c r="D64">
        <v>9.2211613596405555E-3</v>
      </c>
      <c r="E64" s="6">
        <f>'Total lbs'!B12*D64</f>
        <v>1632.4810295176649</v>
      </c>
    </row>
    <row r="65" spans="1:5" x14ac:dyDescent="0.2">
      <c r="A65">
        <v>2015</v>
      </c>
      <c r="B65" s="5" t="s">
        <v>14</v>
      </c>
      <c r="C65" s="5">
        <v>4</v>
      </c>
      <c r="D65">
        <v>0.14533885198932084</v>
      </c>
      <c r="E65" s="6">
        <f>'Total lbs'!B12*D65</f>
        <v>25730.26427700324</v>
      </c>
    </row>
    <row r="66" spans="1:5" x14ac:dyDescent="0.2">
      <c r="A66">
        <v>2015</v>
      </c>
      <c r="B66" s="5" t="s">
        <v>15</v>
      </c>
      <c r="C66" s="5">
        <v>5</v>
      </c>
      <c r="D66">
        <v>7.9009165201536752E-2</v>
      </c>
      <c r="E66" s="6">
        <f>'Total lbs'!B12*D66</f>
        <v>13987.496619901216</v>
      </c>
    </row>
    <row r="67" spans="1:5" x14ac:dyDescent="0.2">
      <c r="A67">
        <v>2015</v>
      </c>
      <c r="B67" s="5" t="s">
        <v>16</v>
      </c>
      <c r="C67" s="5">
        <v>6</v>
      </c>
      <c r="D67">
        <v>0.35995392980399815</v>
      </c>
      <c r="E67" s="6">
        <f>'Total lbs'!B12*D67</f>
        <v>63724.94081681114</v>
      </c>
    </row>
    <row r="68" spans="1:5" x14ac:dyDescent="0.2">
      <c r="A68">
        <v>2016</v>
      </c>
      <c r="B68" s="5" t="s">
        <v>11</v>
      </c>
      <c r="C68" s="5">
        <v>1</v>
      </c>
      <c r="D68">
        <v>0.3267351614898743</v>
      </c>
      <c r="E68" s="6">
        <f>'Total lbs'!B13*D68</f>
        <v>51092.412828073153</v>
      </c>
    </row>
    <row r="69" spans="1:5" x14ac:dyDescent="0.2">
      <c r="A69">
        <v>2016</v>
      </c>
      <c r="B69" s="5" t="s">
        <v>12</v>
      </c>
      <c r="C69" s="5">
        <v>2</v>
      </c>
      <c r="D69">
        <v>7.9741730155629353E-2</v>
      </c>
      <c r="E69" s="6">
        <f>'Total lbs'!B13*D69</f>
        <v>12469.41828408782</v>
      </c>
    </row>
    <row r="70" spans="1:5" x14ac:dyDescent="0.2">
      <c r="A70">
        <v>2016</v>
      </c>
      <c r="B70" s="5" t="s">
        <v>13</v>
      </c>
      <c r="C70" s="5">
        <v>3</v>
      </c>
      <c r="D70">
        <v>9.2211613596405555E-3</v>
      </c>
      <c r="E70" s="6">
        <f>'Total lbs'!B13*D70</f>
        <v>1441.9365849476603</v>
      </c>
    </row>
    <row r="71" spans="1:5" x14ac:dyDescent="0.2">
      <c r="A71">
        <v>2016</v>
      </c>
      <c r="B71" s="5" t="s">
        <v>14</v>
      </c>
      <c r="C71" s="5">
        <v>4</v>
      </c>
      <c r="D71">
        <v>0.14533885198932084</v>
      </c>
      <c r="E71" s="6">
        <f>'Total lbs'!B13*D71</f>
        <v>22727.007990007001</v>
      </c>
    </row>
    <row r="72" spans="1:5" x14ac:dyDescent="0.2">
      <c r="A72">
        <v>2016</v>
      </c>
      <c r="B72" s="5" t="s">
        <v>15</v>
      </c>
      <c r="C72" s="5">
        <v>5</v>
      </c>
      <c r="D72">
        <v>7.9009165201536752E-2</v>
      </c>
      <c r="E72" s="6">
        <f>'Total lbs'!B13*D72</f>
        <v>12354.865228679862</v>
      </c>
    </row>
    <row r="73" spans="1:5" x14ac:dyDescent="0.2">
      <c r="A73">
        <v>2016</v>
      </c>
      <c r="B73" s="5" t="s">
        <v>16</v>
      </c>
      <c r="C73" s="5">
        <v>6</v>
      </c>
      <c r="D73">
        <v>0.35995392980399815</v>
      </c>
      <c r="E73" s="6">
        <f>'Total lbs'!B13*D73</f>
        <v>56286.91658642648</v>
      </c>
    </row>
    <row r="74" spans="1:5" x14ac:dyDescent="0.2">
      <c r="A74">
        <v>2017</v>
      </c>
      <c r="B74" s="5" t="s">
        <v>11</v>
      </c>
      <c r="C74" s="5">
        <v>1</v>
      </c>
      <c r="D74">
        <v>0.3267351614898743</v>
      </c>
      <c r="E74" s="6">
        <f>'Total lbs'!B14*D74</f>
        <v>40318.842829032306</v>
      </c>
    </row>
    <row r="75" spans="1:5" x14ac:dyDescent="0.2">
      <c r="A75">
        <v>2017</v>
      </c>
      <c r="B75" s="5" t="s">
        <v>12</v>
      </c>
      <c r="C75" s="5">
        <v>2</v>
      </c>
      <c r="D75">
        <v>7.9741730155629353E-2</v>
      </c>
      <c r="E75" s="6">
        <f>'Total lbs'!B14*D75</f>
        <v>9840.0621175862143</v>
      </c>
    </row>
    <row r="76" spans="1:5" x14ac:dyDescent="0.2">
      <c r="A76">
        <v>2017</v>
      </c>
      <c r="B76" s="5" t="s">
        <v>13</v>
      </c>
      <c r="C76" s="5">
        <v>3</v>
      </c>
      <c r="D76">
        <v>9.2211613596405555E-3</v>
      </c>
      <c r="E76" s="6">
        <f>'Total lbs'!B14*D76</f>
        <v>1137.8835196836178</v>
      </c>
    </row>
    <row r="77" spans="1:5" x14ac:dyDescent="0.2">
      <c r="A77">
        <v>2017</v>
      </c>
      <c r="B77" s="5" t="s">
        <v>14</v>
      </c>
      <c r="C77" s="5">
        <v>4</v>
      </c>
      <c r="D77">
        <v>0.14533885198932084</v>
      </c>
      <c r="E77" s="6">
        <f>'Total lbs'!B14*D77</f>
        <v>17934.691520768625</v>
      </c>
    </row>
    <row r="78" spans="1:5" x14ac:dyDescent="0.2">
      <c r="A78">
        <v>2017</v>
      </c>
      <c r="B78" s="5" t="s">
        <v>15</v>
      </c>
      <c r="C78" s="5">
        <v>5</v>
      </c>
      <c r="D78">
        <v>7.9009165201536752E-2</v>
      </c>
      <c r="E78" s="6">
        <f>'Total lbs'!B14*D78</f>
        <v>9749.6642212856277</v>
      </c>
    </row>
    <row r="79" spans="1:5" x14ac:dyDescent="0.2">
      <c r="A79">
        <v>2017</v>
      </c>
      <c r="B79" s="5" t="s">
        <v>16</v>
      </c>
      <c r="C79" s="5">
        <v>6</v>
      </c>
      <c r="D79">
        <v>0.35995392980399815</v>
      </c>
      <c r="E79" s="6">
        <f>'Total lbs'!B14*D79</f>
        <v>44418.010768362597</v>
      </c>
    </row>
    <row r="80" spans="1:5" x14ac:dyDescent="0.2">
      <c r="A80">
        <v>2018</v>
      </c>
      <c r="B80" s="5" t="s">
        <v>11</v>
      </c>
      <c r="C80" s="5">
        <v>1</v>
      </c>
      <c r="D80">
        <v>0.3267351614898743</v>
      </c>
      <c r="E80" s="6">
        <f>'Total lbs'!B15*D80</f>
        <v>81586.114104556764</v>
      </c>
    </row>
    <row r="81" spans="1:5" x14ac:dyDescent="0.2">
      <c r="A81">
        <v>2018</v>
      </c>
      <c r="B81" s="5" t="s">
        <v>12</v>
      </c>
      <c r="C81" s="5">
        <v>2</v>
      </c>
      <c r="D81">
        <v>7.9741730155629353E-2</v>
      </c>
      <c r="E81" s="6">
        <f>'Total lbs'!B15*D81</f>
        <v>19911.594043647394</v>
      </c>
    </row>
    <row r="82" spans="1:5" x14ac:dyDescent="0.2">
      <c r="A82">
        <v>2018</v>
      </c>
      <c r="B82" s="5" t="s">
        <v>13</v>
      </c>
      <c r="C82" s="5">
        <v>3</v>
      </c>
      <c r="D82">
        <v>9.2211613596405555E-3</v>
      </c>
      <c r="E82" s="6">
        <f>'Total lbs'!B15*D82</f>
        <v>2302.5337078313773</v>
      </c>
    </row>
    <row r="83" spans="1:5" x14ac:dyDescent="0.2">
      <c r="A83">
        <v>2018</v>
      </c>
      <c r="B83" s="5" t="s">
        <v>14</v>
      </c>
      <c r="C83" s="5">
        <v>4</v>
      </c>
      <c r="D83">
        <v>0.14533885198932084</v>
      </c>
      <c r="E83" s="6">
        <f>'Total lbs'!B15*D83</f>
        <v>36291.264485146297</v>
      </c>
    </row>
    <row r="84" spans="1:5" x14ac:dyDescent="0.2">
      <c r="A84">
        <v>2018</v>
      </c>
      <c r="B84" s="5" t="s">
        <v>15</v>
      </c>
      <c r="C84" s="5">
        <v>5</v>
      </c>
      <c r="D84">
        <v>7.9009165201536752E-2</v>
      </c>
      <c r="E84" s="6">
        <f>'Total lbs'!B15*D84</f>
        <v>19728.671802707464</v>
      </c>
    </row>
    <row r="85" spans="1:5" x14ac:dyDescent="0.2">
      <c r="A85">
        <v>2018</v>
      </c>
      <c r="B85" s="5" t="s">
        <v>16</v>
      </c>
      <c r="C85" s="5">
        <v>6</v>
      </c>
      <c r="D85">
        <v>0.35995392980399815</v>
      </c>
      <c r="E85" s="6">
        <f>'Total lbs'!B15*D85</f>
        <v>89880.875555178689</v>
      </c>
    </row>
    <row r="86" spans="1:5" x14ac:dyDescent="0.2">
      <c r="A86">
        <v>2019</v>
      </c>
      <c r="B86" s="5" t="s">
        <v>11</v>
      </c>
      <c r="C86" s="5">
        <v>1</v>
      </c>
      <c r="D86">
        <v>0.3267351614898743</v>
      </c>
      <c r="E86" s="6">
        <f>'Total lbs'!B16*D86</f>
        <v>67075.106520246889</v>
      </c>
    </row>
    <row r="87" spans="1:5" x14ac:dyDescent="0.2">
      <c r="A87">
        <v>2019</v>
      </c>
      <c r="B87" s="5" t="s">
        <v>12</v>
      </c>
      <c r="C87" s="5">
        <v>2</v>
      </c>
      <c r="D87">
        <v>7.9741730155629353E-2</v>
      </c>
      <c r="E87" s="6">
        <f>'Total lbs'!B16*D87</f>
        <v>16370.093196912881</v>
      </c>
    </row>
    <row r="88" spans="1:5" x14ac:dyDescent="0.2">
      <c r="A88">
        <v>2019</v>
      </c>
      <c r="B88" s="5" t="s">
        <v>13</v>
      </c>
      <c r="C88" s="5">
        <v>3</v>
      </c>
      <c r="D88">
        <v>9.2211613596405555E-3</v>
      </c>
      <c r="E88" s="6">
        <f>'Total lbs'!B16*D88</f>
        <v>1893.0022028175345</v>
      </c>
    </row>
    <row r="89" spans="1:5" x14ac:dyDescent="0.2">
      <c r="A89">
        <v>2019</v>
      </c>
      <c r="B89" s="5" t="s">
        <v>14</v>
      </c>
      <c r="C89" s="5">
        <v>4</v>
      </c>
      <c r="D89">
        <v>0.14533885198932084</v>
      </c>
      <c r="E89" s="6">
        <f>'Total lbs'!B16*D89</f>
        <v>29836.455110192379</v>
      </c>
    </row>
    <row r="90" spans="1:5" x14ac:dyDescent="0.2">
      <c r="A90">
        <v>2019</v>
      </c>
      <c r="B90" s="5" t="s">
        <v>15</v>
      </c>
      <c r="C90" s="5">
        <v>5</v>
      </c>
      <c r="D90">
        <v>7.9009165201536752E-2</v>
      </c>
      <c r="E90" s="6">
        <f>'Total lbs'!B16*D90</f>
        <v>16219.705732935319</v>
      </c>
    </row>
    <row r="91" spans="1:5" x14ac:dyDescent="0.2">
      <c r="A91">
        <v>2019</v>
      </c>
      <c r="B91" s="5" t="s">
        <v>16</v>
      </c>
      <c r="C91" s="5">
        <v>6</v>
      </c>
      <c r="D91">
        <v>0.35995392980399815</v>
      </c>
      <c r="E91" s="6">
        <f>'Total lbs'!B16*D91</f>
        <v>73894.551397195988</v>
      </c>
    </row>
    <row r="92" spans="1:5" x14ac:dyDescent="0.2">
      <c r="A92">
        <v>2020</v>
      </c>
      <c r="B92" s="5" t="s">
        <v>11</v>
      </c>
      <c r="C92" s="5">
        <v>1</v>
      </c>
      <c r="D92">
        <v>0.3267351614898743</v>
      </c>
      <c r="E92" s="6">
        <f>'Total lbs'!B17*D92</f>
        <v>66621.08352157686</v>
      </c>
    </row>
    <row r="93" spans="1:5" x14ac:dyDescent="0.2">
      <c r="A93">
        <v>2020</v>
      </c>
      <c r="B93" s="5" t="s">
        <v>12</v>
      </c>
      <c r="C93" s="5">
        <v>2</v>
      </c>
      <c r="D93">
        <v>7.9741730155629353E-2</v>
      </c>
      <c r="E93" s="6">
        <f>'Total lbs'!B17*D93</f>
        <v>16259.286085491794</v>
      </c>
    </row>
    <row r="94" spans="1:5" x14ac:dyDescent="0.2">
      <c r="A94">
        <v>2020</v>
      </c>
      <c r="B94" s="5" t="s">
        <v>13</v>
      </c>
      <c r="C94" s="5">
        <v>3</v>
      </c>
      <c r="D94">
        <v>9.2211613596405555E-3</v>
      </c>
      <c r="E94" s="6">
        <f>'Total lbs'!B17*D94</f>
        <v>1880.1887078981824</v>
      </c>
    </row>
    <row r="95" spans="1:5" x14ac:dyDescent="0.2">
      <c r="A95">
        <v>2020</v>
      </c>
      <c r="B95" s="5" t="s">
        <v>14</v>
      </c>
      <c r="C95" s="5">
        <v>4</v>
      </c>
      <c r="D95">
        <v>0.14533885198932084</v>
      </c>
      <c r="E95" s="6">
        <f>'Total lbs'!B17*D95</f>
        <v>29634.495880880917</v>
      </c>
    </row>
    <row r="96" spans="1:5" x14ac:dyDescent="0.2">
      <c r="A96">
        <v>2020</v>
      </c>
      <c r="B96" s="5" t="s">
        <v>15</v>
      </c>
      <c r="C96" s="5">
        <v>5</v>
      </c>
      <c r="D96">
        <v>7.9009165201536752E-2</v>
      </c>
      <c r="E96" s="6">
        <f>'Total lbs'!B17*D96</f>
        <v>16109.916575430369</v>
      </c>
    </row>
    <row r="97" spans="1:5" x14ac:dyDescent="0.2">
      <c r="A97">
        <v>2020</v>
      </c>
      <c r="B97" s="5" t="s">
        <v>16</v>
      </c>
      <c r="C97" s="5">
        <v>6</v>
      </c>
      <c r="D97">
        <v>0.35995392980399815</v>
      </c>
      <c r="E97" s="6">
        <f>'Total lbs'!B17*D97</f>
        <v>73394.368429903872</v>
      </c>
    </row>
    <row r="98" spans="1:5" x14ac:dyDescent="0.2">
      <c r="A98">
        <v>2021</v>
      </c>
      <c r="B98" s="5" t="s">
        <v>11</v>
      </c>
      <c r="C98" s="5">
        <v>1</v>
      </c>
      <c r="D98">
        <v>0.3267351614898743</v>
      </c>
      <c r="E98" s="6">
        <f>'Total lbs'!B18*D98</f>
        <v>98459.905410540654</v>
      </c>
    </row>
    <row r="99" spans="1:5" x14ac:dyDescent="0.2">
      <c r="A99">
        <v>2021</v>
      </c>
      <c r="B99" s="5" t="s">
        <v>12</v>
      </c>
      <c r="C99" s="5">
        <v>2</v>
      </c>
      <c r="D99">
        <v>7.9741730155629353E-2</v>
      </c>
      <c r="E99" s="6">
        <f>'Total lbs'!B18*D99</f>
        <v>24029.746821844397</v>
      </c>
    </row>
    <row r="100" spans="1:5" x14ac:dyDescent="0.2">
      <c r="A100">
        <v>2021</v>
      </c>
      <c r="B100" s="5" t="s">
        <v>13</v>
      </c>
      <c r="C100" s="5">
        <v>3</v>
      </c>
      <c r="D100">
        <v>9.2211613596405555E-3</v>
      </c>
      <c r="E100" s="6">
        <f>'Total lbs'!B18*D100</f>
        <v>2778.7479961004387</v>
      </c>
    </row>
    <row r="101" spans="1:5" x14ac:dyDescent="0.2">
      <c r="A101">
        <v>2021</v>
      </c>
      <c r="B101" s="5" t="s">
        <v>14</v>
      </c>
      <c r="C101" s="5">
        <v>4</v>
      </c>
      <c r="D101">
        <v>0.14533885198932084</v>
      </c>
      <c r="E101" s="6">
        <f>'Total lbs'!B18*D101</f>
        <v>43797.091057151418</v>
      </c>
    </row>
    <row r="102" spans="1:5" x14ac:dyDescent="0.2">
      <c r="A102">
        <v>2021</v>
      </c>
      <c r="B102" s="5" t="s">
        <v>15</v>
      </c>
      <c r="C102" s="5">
        <v>5</v>
      </c>
      <c r="D102">
        <v>7.9009165201536752E-2</v>
      </c>
      <c r="E102" s="6">
        <f>'Total lbs'!B18*D102</f>
        <v>23808.992264060846</v>
      </c>
    </row>
    <row r="103" spans="1:5" x14ac:dyDescent="0.2">
      <c r="A103">
        <v>2021</v>
      </c>
      <c r="B103" s="5" t="s">
        <v>16</v>
      </c>
      <c r="C103" s="5">
        <v>6</v>
      </c>
      <c r="D103">
        <v>0.35995392980399815</v>
      </c>
      <c r="E103" s="6">
        <f>'Total lbs'!B18*D103</f>
        <v>108470.20479536723</v>
      </c>
    </row>
    <row r="104" spans="1:5" x14ac:dyDescent="0.2">
      <c r="A104">
        <v>2022</v>
      </c>
      <c r="B104" s="5" t="s">
        <v>11</v>
      </c>
      <c r="C104" s="5">
        <v>1</v>
      </c>
      <c r="D104">
        <v>0.3267351614898743</v>
      </c>
      <c r="E104" s="6">
        <f>'Total lbs'!B19*D104</f>
        <v>47401.718323401976</v>
      </c>
    </row>
    <row r="105" spans="1:5" x14ac:dyDescent="0.2">
      <c r="A105">
        <v>2022</v>
      </c>
      <c r="B105" s="5" t="s">
        <v>12</v>
      </c>
      <c r="C105" s="5">
        <v>2</v>
      </c>
      <c r="D105">
        <v>7.9741730155629353E-2</v>
      </c>
      <c r="E105" s="6">
        <f>'Total lbs'!B19*D105</f>
        <v>11568.681540798947</v>
      </c>
    </row>
    <row r="106" spans="1:5" x14ac:dyDescent="0.2">
      <c r="A106">
        <v>2022</v>
      </c>
      <c r="B106" s="5" t="s">
        <v>13</v>
      </c>
      <c r="C106" s="5">
        <v>3</v>
      </c>
      <c r="D106">
        <v>9.2211613596405555E-3</v>
      </c>
      <c r="E106" s="6">
        <f>'Total lbs'!B19*D106</f>
        <v>1337.7773343744209</v>
      </c>
    </row>
    <row r="107" spans="1:5" x14ac:dyDescent="0.2">
      <c r="A107">
        <v>2022</v>
      </c>
      <c r="B107" s="5" t="s">
        <v>14</v>
      </c>
      <c r="C107" s="5">
        <v>4</v>
      </c>
      <c r="D107">
        <v>0.14533885198932084</v>
      </c>
      <c r="E107" s="6">
        <f>'Total lbs'!B19*D107</f>
        <v>21085.307415430711</v>
      </c>
    </row>
    <row r="108" spans="1:5" x14ac:dyDescent="0.2">
      <c r="A108">
        <v>2022</v>
      </c>
      <c r="B108" s="5" t="s">
        <v>15</v>
      </c>
      <c r="C108" s="5">
        <v>5</v>
      </c>
      <c r="D108">
        <v>7.9009165201536752E-2</v>
      </c>
      <c r="E108" s="6">
        <f>'Total lbs'!B19*D108</f>
        <v>11462.403301722528</v>
      </c>
    </row>
    <row r="109" spans="1:5" x14ac:dyDescent="0.2">
      <c r="A109">
        <v>2022</v>
      </c>
      <c r="B109" s="5" t="s">
        <v>16</v>
      </c>
      <c r="C109" s="5">
        <v>6</v>
      </c>
      <c r="D109">
        <v>0.35995392980399815</v>
      </c>
      <c r="E109" s="6">
        <f>'Total lbs'!B19*D109</f>
        <v>52220.99363952141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3BF6-CE15-F241-91EE-789524438D13}">
  <dimension ref="A1:D20"/>
  <sheetViews>
    <sheetView zoomScale="130" zoomScaleNormal="130" workbookViewId="0">
      <selection activeCell="D20" sqref="D20"/>
    </sheetView>
  </sheetViews>
  <sheetFormatPr baseColWidth="10" defaultRowHeight="16" x14ac:dyDescent="0.2"/>
  <cols>
    <col min="1" max="1" width="5.83203125" bestFit="1" customWidth="1"/>
    <col min="2" max="2" width="12.1640625" style="4" bestFit="1" customWidth="1"/>
    <col min="3" max="3" width="12.1640625" bestFit="1" customWidth="1"/>
    <col min="4" max="4" width="11.5" bestFit="1" customWidth="1"/>
  </cols>
  <sheetData>
    <row r="1" spans="1:4" s="2" customFormat="1" x14ac:dyDescent="0.2">
      <c r="A1" s="2" t="s">
        <v>0</v>
      </c>
      <c r="B1" s="3" t="s">
        <v>1</v>
      </c>
      <c r="C1" s="2" t="s">
        <v>2</v>
      </c>
      <c r="D1" s="2" t="s">
        <v>20</v>
      </c>
    </row>
    <row r="2" spans="1:4" x14ac:dyDescent="0.2">
      <c r="A2" s="1">
        <v>2005</v>
      </c>
      <c r="B2" s="4">
        <v>169641.08740442601</v>
      </c>
      <c r="C2">
        <v>24643.560823217202</v>
      </c>
      <c r="D2" s="6">
        <f>3.93*B2-0.95*B2</f>
        <v>505530.44046518952</v>
      </c>
    </row>
    <row r="3" spans="1:4" x14ac:dyDescent="0.2">
      <c r="A3" s="1">
        <v>2006</v>
      </c>
      <c r="B3" s="4">
        <v>283314.46523749799</v>
      </c>
      <c r="C3">
        <v>49129.622370595898</v>
      </c>
      <c r="D3" s="6">
        <f t="shared" ref="D3:D19" si="0">3.93*B3-0.95*B3</f>
        <v>844277.106407744</v>
      </c>
    </row>
    <row r="4" spans="1:4" x14ac:dyDescent="0.2">
      <c r="A4" s="1">
        <v>2007</v>
      </c>
      <c r="B4" s="4">
        <v>241451.05701660001</v>
      </c>
      <c r="C4">
        <v>39369.564667679901</v>
      </c>
      <c r="D4" s="6">
        <f t="shared" si="0"/>
        <v>719524.14990946802</v>
      </c>
    </row>
    <row r="5" spans="1:4" x14ac:dyDescent="0.2">
      <c r="A5" s="1">
        <v>2008</v>
      </c>
      <c r="B5" s="4">
        <v>225255.890595929</v>
      </c>
      <c r="C5">
        <v>36273.137215664203</v>
      </c>
      <c r="D5" s="6">
        <f t="shared" si="0"/>
        <v>671262.5539758685</v>
      </c>
    </row>
    <row r="6" spans="1:4" x14ac:dyDescent="0.2">
      <c r="A6" s="1">
        <v>2009</v>
      </c>
      <c r="B6" s="4">
        <v>168430.14520859401</v>
      </c>
      <c r="C6">
        <v>20119.964838070598</v>
      </c>
      <c r="D6" s="6">
        <f t="shared" si="0"/>
        <v>501921.83272161015</v>
      </c>
    </row>
    <row r="7" spans="1:4" x14ac:dyDescent="0.2">
      <c r="A7" s="1">
        <v>2010</v>
      </c>
      <c r="B7" s="4">
        <v>260492.91587541401</v>
      </c>
      <c r="C7">
        <v>43886.361163168098</v>
      </c>
      <c r="D7" s="6">
        <f t="shared" si="0"/>
        <v>776268.88930873387</v>
      </c>
    </row>
    <row r="8" spans="1:4" x14ac:dyDescent="0.2">
      <c r="A8" s="1">
        <v>2011</v>
      </c>
      <c r="B8" s="4">
        <v>139065.20265488399</v>
      </c>
      <c r="C8">
        <v>13590.1679109531</v>
      </c>
      <c r="D8" s="6">
        <f t="shared" si="0"/>
        <v>414414.30391155439</v>
      </c>
    </row>
    <row r="9" spans="1:4" x14ac:dyDescent="0.2">
      <c r="A9" s="1">
        <v>2012</v>
      </c>
      <c r="B9" s="4">
        <v>214786.498291722</v>
      </c>
      <c r="C9">
        <v>34264.163722225101</v>
      </c>
      <c r="D9" s="6">
        <f t="shared" si="0"/>
        <v>640063.76490933157</v>
      </c>
    </row>
    <row r="10" spans="1:4" x14ac:dyDescent="0.2">
      <c r="A10" s="1">
        <v>2013</v>
      </c>
      <c r="B10" s="4">
        <v>234129.030571396</v>
      </c>
      <c r="C10">
        <v>33052.385451964197</v>
      </c>
      <c r="D10" s="6">
        <f t="shared" si="0"/>
        <v>697704.51110276009</v>
      </c>
    </row>
    <row r="11" spans="1:4" x14ac:dyDescent="0.2">
      <c r="A11" s="1">
        <v>2014</v>
      </c>
      <c r="B11" s="4">
        <v>229987.406178078</v>
      </c>
      <c r="C11">
        <v>21558.8799293706</v>
      </c>
      <c r="D11" s="6">
        <f t="shared" si="0"/>
        <v>685362.47041067248</v>
      </c>
    </row>
    <row r="12" spans="1:4" x14ac:dyDescent="0.2">
      <c r="A12" s="1">
        <v>2015</v>
      </c>
      <c r="B12" s="4">
        <v>177036.38032653401</v>
      </c>
      <c r="C12">
        <v>21923.723178597698</v>
      </c>
      <c r="D12" s="6">
        <f t="shared" si="0"/>
        <v>527568.41337307147</v>
      </c>
    </row>
    <row r="13" spans="1:4" x14ac:dyDescent="0.2">
      <c r="A13" s="1">
        <v>2016</v>
      </c>
      <c r="B13" s="4">
        <v>156372.55750222199</v>
      </c>
      <c r="C13">
        <v>11821.837257087</v>
      </c>
      <c r="D13" s="6">
        <f t="shared" si="0"/>
        <v>465990.22135662154</v>
      </c>
    </row>
    <row r="14" spans="1:4" x14ac:dyDescent="0.2">
      <c r="A14" s="1">
        <v>2017</v>
      </c>
      <c r="B14" s="4">
        <v>123399.154976719</v>
      </c>
      <c r="C14">
        <v>36586.374582681899</v>
      </c>
      <c r="D14" s="6">
        <f t="shared" si="0"/>
        <v>367729.48183062265</v>
      </c>
    </row>
    <row r="15" spans="1:4" x14ac:dyDescent="0.2">
      <c r="A15" s="1">
        <v>2018</v>
      </c>
      <c r="B15" s="4">
        <v>249701.053699068</v>
      </c>
      <c r="C15">
        <v>60185.597351188102</v>
      </c>
      <c r="D15" s="6">
        <f t="shared" si="0"/>
        <v>744109.14002322266</v>
      </c>
    </row>
    <row r="16" spans="1:4" x14ac:dyDescent="0.2">
      <c r="A16" s="1">
        <v>2019</v>
      </c>
      <c r="B16" s="4">
        <v>205288.91416030101</v>
      </c>
      <c r="C16">
        <v>33072.366386095498</v>
      </c>
      <c r="D16" s="6">
        <f t="shared" si="0"/>
        <v>611760.964197697</v>
      </c>
    </row>
    <row r="17" spans="1:4" x14ac:dyDescent="0.2">
      <c r="A17" s="1">
        <v>2020</v>
      </c>
      <c r="B17" s="4">
        <v>203899.33920118201</v>
      </c>
      <c r="C17">
        <v>23839.7583677488</v>
      </c>
      <c r="D17" s="6">
        <f t="shared" si="0"/>
        <v>607620.03081952245</v>
      </c>
    </row>
    <row r="18" spans="1:4" x14ac:dyDescent="0.2">
      <c r="A18" s="1">
        <v>2021</v>
      </c>
      <c r="B18" s="4">
        <v>301344.68834506499</v>
      </c>
      <c r="C18">
        <v>73970.6676019562</v>
      </c>
      <c r="D18" s="6">
        <f t="shared" si="0"/>
        <v>898007.17126829387</v>
      </c>
    </row>
    <row r="19" spans="1:4" x14ac:dyDescent="0.2">
      <c r="A19" s="1">
        <v>2022</v>
      </c>
      <c r="B19" s="4">
        <v>145076.88155525</v>
      </c>
      <c r="C19">
        <v>30624.9189558365</v>
      </c>
      <c r="D19" s="6">
        <f t="shared" si="0"/>
        <v>432329.10703464504</v>
      </c>
    </row>
    <row r="20" spans="1:4" x14ac:dyDescent="0.2">
      <c r="D20" s="6">
        <f>AVERAGE(D2:D19)</f>
        <v>617302.47516814619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A5D0-B16C-F44A-9F89-710B9B310AC4}">
  <dimension ref="A1:C7"/>
  <sheetViews>
    <sheetView workbookViewId="0">
      <selection activeCell="B10" sqref="B10"/>
    </sheetView>
  </sheetViews>
  <sheetFormatPr baseColWidth="10" defaultRowHeight="16" x14ac:dyDescent="0.2"/>
  <sheetData>
    <row r="1" spans="1:3" x14ac:dyDescent="0.2">
      <c r="A1" s="2" t="s">
        <v>9</v>
      </c>
      <c r="B1" s="2" t="s">
        <v>17</v>
      </c>
      <c r="C1" s="2" t="s">
        <v>19</v>
      </c>
    </row>
    <row r="2" spans="1:3" x14ac:dyDescent="0.2">
      <c r="A2" t="s">
        <v>3</v>
      </c>
      <c r="B2">
        <v>1</v>
      </c>
      <c r="C2">
        <f>321131/SUM(321131,78374,9063,142846,77654,353780)</f>
        <v>0.3267351614898743</v>
      </c>
    </row>
    <row r="3" spans="1:3" x14ac:dyDescent="0.2">
      <c r="A3" t="s">
        <v>4</v>
      </c>
      <c r="B3">
        <v>2</v>
      </c>
      <c r="C3">
        <f>78374/SUM(321131,78374,9063,142846,77654,353780)</f>
        <v>7.9741730155629353E-2</v>
      </c>
    </row>
    <row r="4" spans="1:3" x14ac:dyDescent="0.2">
      <c r="A4" t="s">
        <v>5</v>
      </c>
      <c r="B4">
        <v>3</v>
      </c>
      <c r="C4">
        <f>9063/SUM(321131,78374,9063,142846,77654,353780)</f>
        <v>9.2211613596405555E-3</v>
      </c>
    </row>
    <row r="5" spans="1:3" x14ac:dyDescent="0.2">
      <c r="A5" t="s">
        <v>6</v>
      </c>
      <c r="B5">
        <v>4</v>
      </c>
      <c r="C5">
        <f>142846/SUM(321131,78374,9063,142846,77654,353780)</f>
        <v>0.14533885198932084</v>
      </c>
    </row>
    <row r="6" spans="1:3" x14ac:dyDescent="0.2">
      <c r="A6" t="s">
        <v>7</v>
      </c>
      <c r="B6">
        <v>5</v>
      </c>
      <c r="C6">
        <f>77654/SUM(321131,78374,9063,142846,77654,353780)</f>
        <v>7.9009165201536752E-2</v>
      </c>
    </row>
    <row r="7" spans="1:3" x14ac:dyDescent="0.2">
      <c r="A7" t="s">
        <v>8</v>
      </c>
      <c r="B7">
        <v>6</v>
      </c>
      <c r="C7">
        <f>353780/SUM(321131,78374,9063,142846,77654,353780)</f>
        <v>0.35995392980399815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Lbs by island</vt:lpstr>
      <vt:lpstr>Total lbs</vt:lpstr>
      <vt:lpstr>Island code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Elanur Ural</dc:creator>
  <cp:lastModifiedBy>Elanur Ural</cp:lastModifiedBy>
  <dcterms:created xsi:type="dcterms:W3CDTF">2024-05-25T01:08:37Z</dcterms:created>
  <dcterms:modified xsi:type="dcterms:W3CDTF">2026-03-28T16:54:10Z</dcterms:modified>
</cp:coreProperties>
</file>